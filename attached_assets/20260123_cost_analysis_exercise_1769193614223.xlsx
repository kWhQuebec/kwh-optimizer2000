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/Library/CloudStorage/OneDrive-SharedLibraries-LCAB2.0/kWh Quebec - Documents/Dream/"/>
    </mc:Choice>
  </mc:AlternateContent>
  <xr:revisionPtr revIDLastSave="0" documentId="8_{8198576D-3347-8842-A759-17EF1B34B2F8}" xr6:coauthVersionLast="47" xr6:coauthVersionMax="47" xr10:uidLastSave="{00000000-0000-0000-0000-000000000000}"/>
  <bookViews>
    <workbookView xWindow="0" yWindow="600" windowWidth="28800" windowHeight="16120" activeTab="1" xr2:uid="{428EE980-664E-416C-81BD-741C81F4D97B}"/>
  </bookViews>
  <sheets>
    <sheet name="Summary" sheetId="2" r:id="rId1"/>
    <sheet name="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I12" i="2"/>
  <c r="I10" i="2"/>
  <c r="I8" i="2"/>
  <c r="I6" i="2"/>
  <c r="I4" i="2"/>
  <c r="H15" i="2"/>
  <c r="H14" i="2"/>
  <c r="H13" i="2"/>
  <c r="H12" i="2"/>
  <c r="H11" i="2"/>
  <c r="H10" i="2"/>
  <c r="H9" i="2"/>
  <c r="H8" i="2"/>
  <c r="H7" i="2"/>
  <c r="H6" i="2"/>
  <c r="H5" i="2"/>
  <c r="H4" i="2"/>
  <c r="G15" i="2"/>
  <c r="G14" i="2"/>
  <c r="G13" i="2"/>
  <c r="G12" i="2"/>
  <c r="G9" i="2"/>
  <c r="G11" i="2"/>
  <c r="G10" i="2"/>
  <c r="G8" i="2"/>
  <c r="G7" i="2"/>
  <c r="G6" i="2"/>
  <c r="G5" i="2"/>
  <c r="G4" i="2"/>
  <c r="F15" i="2"/>
  <c r="F14" i="2"/>
  <c r="F13" i="2"/>
  <c r="F12" i="2"/>
  <c r="F11" i="2"/>
  <c r="F10" i="2"/>
  <c r="F9" i="2"/>
  <c r="F8" i="2"/>
  <c r="F7" i="2"/>
  <c r="F6" i="2"/>
  <c r="F5" i="2"/>
  <c r="F4" i="2"/>
  <c r="E15" i="2"/>
  <c r="E14" i="2"/>
  <c r="E13" i="2"/>
  <c r="E12" i="2"/>
  <c r="E11" i="2"/>
  <c r="E10" i="2"/>
  <c r="E9" i="2"/>
  <c r="E8" i="2"/>
  <c r="E7" i="2"/>
  <c r="E6" i="2"/>
  <c r="E5" i="2"/>
  <c r="E4" i="2"/>
  <c r="D15" i="2"/>
  <c r="D14" i="2"/>
  <c r="D13" i="2"/>
  <c r="D12" i="2"/>
  <c r="D11" i="2"/>
  <c r="D10" i="2"/>
  <c r="D9" i="2"/>
  <c r="D8" i="2"/>
  <c r="D5" i="2"/>
  <c r="D4" i="2"/>
  <c r="D7" i="2"/>
  <c r="D6" i="2"/>
  <c r="B14" i="2"/>
  <c r="B12" i="2"/>
  <c r="B10" i="2"/>
  <c r="B8" i="2"/>
  <c r="B6" i="2"/>
  <c r="B4" i="2"/>
  <c r="K128" i="1"/>
  <c r="K130" i="1" s="1"/>
  <c r="K131" i="1" s="1"/>
  <c r="L135" i="1" s="1"/>
  <c r="I128" i="1"/>
  <c r="I130" i="1" s="1"/>
  <c r="I131" i="1" s="1"/>
  <c r="J135" i="1" s="1"/>
  <c r="I135" i="1" s="1"/>
  <c r="I141" i="1" s="1"/>
  <c r="G128" i="1"/>
  <c r="G130" i="1" s="1"/>
  <c r="G131" i="1" s="1"/>
  <c r="H135" i="1" s="1"/>
  <c r="G135" i="1" s="1"/>
  <c r="G141" i="1" s="1"/>
  <c r="E128" i="1"/>
  <c r="E130" i="1" s="1"/>
  <c r="E131" i="1" s="1"/>
  <c r="F135" i="1" s="1"/>
  <c r="E135" i="1" s="1"/>
  <c r="E141" i="1" s="1"/>
  <c r="C128" i="1"/>
  <c r="C130" i="1" s="1"/>
  <c r="C131" i="1" s="1"/>
  <c r="D135" i="1" s="1"/>
  <c r="C135" i="1" s="1"/>
  <c r="C141" i="1" s="1"/>
  <c r="D111" i="1"/>
  <c r="D109" i="1"/>
  <c r="K103" i="1"/>
  <c r="K119" i="1" s="1"/>
  <c r="I103" i="1"/>
  <c r="I119" i="1" s="1"/>
  <c r="G103" i="1"/>
  <c r="G119" i="1" s="1"/>
  <c r="E103" i="1"/>
  <c r="E119" i="1" s="1"/>
  <c r="C103" i="1"/>
  <c r="C105" i="1" s="1"/>
  <c r="C106" i="1" s="1"/>
  <c r="D110" i="1" s="1"/>
  <c r="C110" i="1" s="1"/>
  <c r="C116" i="1" s="1"/>
  <c r="K92" i="1"/>
  <c r="I92" i="1"/>
  <c r="G92" i="1"/>
  <c r="E92" i="1"/>
  <c r="C92" i="1"/>
  <c r="D88" i="1"/>
  <c r="D87" i="1"/>
  <c r="D85" i="1"/>
  <c r="K79" i="1"/>
  <c r="K95" i="1" s="1"/>
  <c r="I79" i="1"/>
  <c r="I95" i="1" s="1"/>
  <c r="G79" i="1"/>
  <c r="G95" i="1" s="1"/>
  <c r="E79" i="1"/>
  <c r="E95" i="1" s="1"/>
  <c r="C79" i="1"/>
  <c r="C95" i="1" s="1"/>
  <c r="K55" i="1"/>
  <c r="K71" i="1" s="1"/>
  <c r="I55" i="1"/>
  <c r="I71" i="1" s="1"/>
  <c r="G55" i="1"/>
  <c r="G71" i="1" s="1"/>
  <c r="E55" i="1"/>
  <c r="E71" i="1" s="1"/>
  <c r="C55" i="1"/>
  <c r="C71" i="1" s="1"/>
  <c r="K44" i="1"/>
  <c r="I44" i="1"/>
  <c r="G44" i="1"/>
  <c r="E44" i="1"/>
  <c r="C44" i="1"/>
  <c r="D42" i="1"/>
  <c r="K31" i="1"/>
  <c r="K47" i="1" s="1"/>
  <c r="I31" i="1"/>
  <c r="I47" i="1" s="1"/>
  <c r="G31" i="1"/>
  <c r="G47" i="1" s="1"/>
  <c r="E31" i="1"/>
  <c r="E47" i="1" s="1"/>
  <c r="C31" i="1"/>
  <c r="C33" i="1" s="1"/>
  <c r="C34" i="1" s="1"/>
  <c r="C9" i="1"/>
  <c r="C10" i="1" s="1"/>
  <c r="E20" i="1"/>
  <c r="G20" i="1"/>
  <c r="I20" i="1"/>
  <c r="K20" i="1"/>
  <c r="D16" i="1"/>
  <c r="D17" i="1"/>
  <c r="K7" i="1"/>
  <c r="K23" i="1" s="1"/>
  <c r="I7" i="1"/>
  <c r="J13" i="1" s="1"/>
  <c r="G7" i="1"/>
  <c r="H14" i="1" s="1"/>
  <c r="E7" i="1"/>
  <c r="F16" i="1" s="1"/>
  <c r="C20" i="1"/>
  <c r="C7" i="1"/>
  <c r="D14" i="1" s="1"/>
  <c r="D112" i="1" l="1"/>
  <c r="D86" i="1"/>
  <c r="D113" i="1"/>
  <c r="D134" i="1"/>
  <c r="D37" i="1"/>
  <c r="D63" i="1"/>
  <c r="D136" i="1"/>
  <c r="D64" i="1"/>
  <c r="D39" i="1"/>
  <c r="D44" i="1" s="1"/>
  <c r="D65" i="1"/>
  <c r="D61" i="1"/>
  <c r="D38" i="1"/>
  <c r="D40" i="1"/>
  <c r="D41" i="1"/>
  <c r="D137" i="1"/>
  <c r="D138" i="1"/>
  <c r="F90" i="1"/>
  <c r="H90" i="1"/>
  <c r="J37" i="1"/>
  <c r="L134" i="1"/>
  <c r="J38" i="1"/>
  <c r="L111" i="1"/>
  <c r="L64" i="1"/>
  <c r="J90" i="1"/>
  <c r="L138" i="1"/>
  <c r="F65" i="1"/>
  <c r="L113" i="1"/>
  <c r="L116" i="1" s="1"/>
  <c r="K121" i="1" s="1"/>
  <c r="D139" i="1"/>
  <c r="L38" i="1"/>
  <c r="L40" i="1"/>
  <c r="D66" i="1"/>
  <c r="D114" i="1"/>
  <c r="D116" i="1" s="1"/>
  <c r="C144" i="1"/>
  <c r="C57" i="1"/>
  <c r="C58" i="1" s="1"/>
  <c r="D62" i="1" s="1"/>
  <c r="J134" i="1"/>
  <c r="L63" i="1"/>
  <c r="L41" i="1"/>
  <c r="L114" i="1"/>
  <c r="E144" i="1"/>
  <c r="J111" i="1"/>
  <c r="I9" i="1"/>
  <c r="I10" i="1" s="1"/>
  <c r="K9" i="1"/>
  <c r="K10" i="1" s="1"/>
  <c r="L90" i="1"/>
  <c r="C119" i="1"/>
  <c r="G144" i="1"/>
  <c r="C47" i="1"/>
  <c r="F89" i="1"/>
  <c r="J109" i="1"/>
  <c r="L137" i="1"/>
  <c r="L37" i="1"/>
  <c r="F86" i="1"/>
  <c r="H89" i="1"/>
  <c r="L109" i="1"/>
  <c r="F41" i="1"/>
  <c r="F64" i="1"/>
  <c r="H86" i="1"/>
  <c r="J89" i="1"/>
  <c r="F114" i="1"/>
  <c r="F138" i="1"/>
  <c r="E9" i="1"/>
  <c r="E10" i="1" s="1"/>
  <c r="F38" i="1"/>
  <c r="H41" i="1"/>
  <c r="H64" i="1"/>
  <c r="J86" i="1"/>
  <c r="L89" i="1"/>
  <c r="F111" i="1"/>
  <c r="H114" i="1"/>
  <c r="F134" i="1"/>
  <c r="H138" i="1"/>
  <c r="G9" i="1"/>
  <c r="G10" i="1" s="1"/>
  <c r="H38" i="1"/>
  <c r="J41" i="1"/>
  <c r="J64" i="1"/>
  <c r="L86" i="1"/>
  <c r="D90" i="1"/>
  <c r="H111" i="1"/>
  <c r="J114" i="1"/>
  <c r="H134" i="1"/>
  <c r="J138" i="1"/>
  <c r="F87" i="1"/>
  <c r="F42" i="1"/>
  <c r="H42" i="1"/>
  <c r="H65" i="1"/>
  <c r="F136" i="1"/>
  <c r="H39" i="1"/>
  <c r="J65" i="1"/>
  <c r="L87" i="1"/>
  <c r="J139" i="1"/>
  <c r="J61" i="1"/>
  <c r="H87" i="1"/>
  <c r="F139" i="1"/>
  <c r="E105" i="1"/>
  <c r="E106" i="1" s="1"/>
  <c r="F110" i="1" s="1"/>
  <c r="E110" i="1" s="1"/>
  <c r="E116" i="1" s="1"/>
  <c r="L42" i="1"/>
  <c r="C81" i="1"/>
  <c r="C82" i="1" s="1"/>
  <c r="J112" i="1"/>
  <c r="J136" i="1"/>
  <c r="L39" i="1"/>
  <c r="L61" i="1"/>
  <c r="L112" i="1"/>
  <c r="L136" i="1"/>
  <c r="F66" i="1"/>
  <c r="H66" i="1"/>
  <c r="H85" i="1"/>
  <c r="F37" i="1"/>
  <c r="H40" i="1"/>
  <c r="H63" i="1"/>
  <c r="J66" i="1"/>
  <c r="J85" i="1"/>
  <c r="L88" i="1"/>
  <c r="F109" i="1"/>
  <c r="H113" i="1"/>
  <c r="H137" i="1"/>
  <c r="I144" i="1"/>
  <c r="F39" i="1"/>
  <c r="F61" i="1"/>
  <c r="J87" i="1"/>
  <c r="F112" i="1"/>
  <c r="H139" i="1"/>
  <c r="J42" i="1"/>
  <c r="H61" i="1"/>
  <c r="H112" i="1"/>
  <c r="H136" i="1"/>
  <c r="J39" i="1"/>
  <c r="L65" i="1"/>
  <c r="G105" i="1"/>
  <c r="G106" i="1" s="1"/>
  <c r="H110" i="1" s="1"/>
  <c r="G110" i="1" s="1"/>
  <c r="G116" i="1" s="1"/>
  <c r="L139" i="1"/>
  <c r="F88" i="1"/>
  <c r="I105" i="1"/>
  <c r="I106" i="1" s="1"/>
  <c r="J110" i="1" s="1"/>
  <c r="I110" i="1" s="1"/>
  <c r="I116" i="1" s="1"/>
  <c r="F17" i="1"/>
  <c r="F85" i="1"/>
  <c r="H88" i="1"/>
  <c r="K105" i="1"/>
  <c r="K106" i="1" s="1"/>
  <c r="L110" i="1" s="1"/>
  <c r="K110" i="1" s="1"/>
  <c r="K116" i="1" s="1"/>
  <c r="F18" i="1"/>
  <c r="F40" i="1"/>
  <c r="F63" i="1"/>
  <c r="J88" i="1"/>
  <c r="F113" i="1"/>
  <c r="F137" i="1"/>
  <c r="H37" i="1"/>
  <c r="J40" i="1"/>
  <c r="J63" i="1"/>
  <c r="L66" i="1"/>
  <c r="L85" i="1"/>
  <c r="D89" i="1"/>
  <c r="H109" i="1"/>
  <c r="J113" i="1"/>
  <c r="J137" i="1"/>
  <c r="K144" i="1"/>
  <c r="K135" i="1"/>
  <c r="K141" i="1" s="1"/>
  <c r="E81" i="1"/>
  <c r="E82" i="1" s="1"/>
  <c r="G81" i="1"/>
  <c r="G82" i="1" s="1"/>
  <c r="I81" i="1"/>
  <c r="I82" i="1" s="1"/>
  <c r="K81" i="1"/>
  <c r="K82" i="1" s="1"/>
  <c r="I57" i="1"/>
  <c r="I58" i="1" s="1"/>
  <c r="J62" i="1" s="1"/>
  <c r="I62" i="1" s="1"/>
  <c r="I68" i="1" s="1"/>
  <c r="E57" i="1"/>
  <c r="E58" i="1" s="1"/>
  <c r="F62" i="1" s="1"/>
  <c r="E62" i="1" s="1"/>
  <c r="E68" i="1" s="1"/>
  <c r="K57" i="1"/>
  <c r="K58" i="1" s="1"/>
  <c r="L62" i="1" s="1"/>
  <c r="K62" i="1" s="1"/>
  <c r="K68" i="1" s="1"/>
  <c r="G57" i="1"/>
  <c r="G58" i="1" s="1"/>
  <c r="H62" i="1" s="1"/>
  <c r="G62" i="1" s="1"/>
  <c r="G68" i="1" s="1"/>
  <c r="E33" i="1"/>
  <c r="E34" i="1" s="1"/>
  <c r="G33" i="1"/>
  <c r="G34" i="1" s="1"/>
  <c r="I33" i="1"/>
  <c r="I34" i="1" s="1"/>
  <c r="K33" i="1"/>
  <c r="K34" i="1" s="1"/>
  <c r="H13" i="1"/>
  <c r="L15" i="1"/>
  <c r="L16" i="1"/>
  <c r="L17" i="1"/>
  <c r="L18" i="1"/>
  <c r="D13" i="1"/>
  <c r="D18" i="1"/>
  <c r="H17" i="1"/>
  <c r="H18" i="1"/>
  <c r="J15" i="1"/>
  <c r="F13" i="1"/>
  <c r="J17" i="1"/>
  <c r="E23" i="1"/>
  <c r="J14" i="1"/>
  <c r="D15" i="1"/>
  <c r="J16" i="1"/>
  <c r="F14" i="1"/>
  <c r="J18" i="1"/>
  <c r="G23" i="1"/>
  <c r="H15" i="1"/>
  <c r="H16" i="1"/>
  <c r="F15" i="1"/>
  <c r="L13" i="1"/>
  <c r="I23" i="1"/>
  <c r="L14" i="1"/>
  <c r="C23" i="1"/>
  <c r="D141" i="1" l="1"/>
  <c r="D68" i="1"/>
  <c r="C73" i="1" s="1"/>
  <c r="C146" i="1"/>
  <c r="C49" i="1"/>
  <c r="C121" i="1"/>
  <c r="F116" i="1"/>
  <c r="E121" i="1" s="1"/>
  <c r="H141" i="1"/>
  <c r="G146" i="1" s="1"/>
  <c r="F141" i="1"/>
  <c r="E146" i="1" s="1"/>
  <c r="C62" i="1"/>
  <c r="C68" i="1" s="1"/>
  <c r="J44" i="1"/>
  <c r="I49" i="1" s="1"/>
  <c r="J68" i="1"/>
  <c r="I73" i="1" s="1"/>
  <c r="L44" i="1"/>
  <c r="K49" i="1" s="1"/>
  <c r="D20" i="1"/>
  <c r="C25" i="1" s="1"/>
  <c r="D92" i="1"/>
  <c r="C97" i="1" s="1"/>
  <c r="J141" i="1"/>
  <c r="I146" i="1" s="1"/>
  <c r="L141" i="1"/>
  <c r="K146" i="1" s="1"/>
  <c r="J92" i="1"/>
  <c r="I97" i="1" s="1"/>
  <c r="H44" i="1"/>
  <c r="G49" i="1" s="1"/>
  <c r="H68" i="1"/>
  <c r="G73" i="1" s="1"/>
  <c r="F44" i="1"/>
  <c r="E49" i="1" s="1"/>
  <c r="F68" i="1"/>
  <c r="E73" i="1" s="1"/>
  <c r="L92" i="1"/>
  <c r="K97" i="1" s="1"/>
  <c r="L68" i="1"/>
  <c r="K73" i="1" s="1"/>
  <c r="H92" i="1"/>
  <c r="G97" i="1" s="1"/>
  <c r="F92" i="1"/>
  <c r="E97" i="1" s="1"/>
  <c r="H116" i="1"/>
  <c r="G121" i="1" s="1"/>
  <c r="J116" i="1"/>
  <c r="I121" i="1" s="1"/>
  <c r="J20" i="1"/>
  <c r="I25" i="1" s="1"/>
  <c r="H20" i="1"/>
  <c r="G25" i="1" s="1"/>
  <c r="F20" i="1"/>
  <c r="E25" i="1" s="1"/>
  <c r="L20" i="1"/>
  <c r="K25" i="1" s="1"/>
</calcChain>
</file>

<file path=xl/sharedStrings.xml><?xml version="1.0" encoding="utf-8"?>
<sst xmlns="http://schemas.openxmlformats.org/spreadsheetml/2006/main" count="134" uniqueCount="38">
  <si>
    <t>Angle</t>
  </si>
  <si>
    <t>Modules</t>
  </si>
  <si>
    <t>Number of Modules</t>
  </si>
  <si>
    <t>Costs</t>
  </si>
  <si>
    <t>Inverters</t>
  </si>
  <si>
    <t>Racking</t>
  </si>
  <si>
    <t>Ballast</t>
  </si>
  <si>
    <t xml:space="preserve">Other materials </t>
  </si>
  <si>
    <t>Instalation</t>
  </si>
  <si>
    <t>kWh/kWp</t>
  </si>
  <si>
    <t>Annual Production</t>
  </si>
  <si>
    <t>Cost/W</t>
  </si>
  <si>
    <t>DC capacity (W)</t>
  </si>
  <si>
    <t>AC</t>
  </si>
  <si>
    <t>number of inverters</t>
  </si>
  <si>
    <t xml:space="preserve">AC/DC ratio </t>
  </si>
  <si>
    <t>Mikes results</t>
  </si>
  <si>
    <t>Scenario 1</t>
  </si>
  <si>
    <t>KB with better production</t>
  </si>
  <si>
    <t>Declining inverter ratio</t>
  </si>
  <si>
    <t>Scenario 2</t>
  </si>
  <si>
    <t>Scenario 3</t>
  </si>
  <si>
    <t>Cheaper modules</t>
  </si>
  <si>
    <t>Scenario 4</t>
  </si>
  <si>
    <t>Declining inverter ratio and cheaper panels</t>
  </si>
  <si>
    <t>Declining inverter ratio and cheaper panels and better production</t>
  </si>
  <si>
    <t>Panel Wattage</t>
  </si>
  <si>
    <t>Rack Supplier</t>
  </si>
  <si>
    <t>KB</t>
  </si>
  <si>
    <t>OPSUN</t>
  </si>
  <si>
    <t>cost/kwh of first year production</t>
  </si>
  <si>
    <t xml:space="preserve">Scenario </t>
  </si>
  <si>
    <t>Opsun 20</t>
  </si>
  <si>
    <t>1st Year Production</t>
  </si>
  <si>
    <t>kwh/kwp</t>
  </si>
  <si>
    <t xml:space="preserve">Cost </t>
  </si>
  <si>
    <t>Cost/1st year prodcution</t>
  </si>
  <si>
    <t>Opsun to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</si>
</sst>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.0_-;\-* #,##0.0_-;_-* &quot;-&quot;??_-;_-@_-"/>
    <numFmt numFmtId="167" formatCode="_-* #,##0_-;\-* #,##0_-;_-* &quot;-&quot;??_-;_-@_-"/>
    <numFmt numFmtId="168" formatCode="_-&quot;$&quot;* #,##0_-;\-&quot;$&quot;* #,##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167" fontId="0" fillId="0" borderId="0" xfId="1" applyNumberFormat="1" applyFont="1"/>
    <xf numFmtId="164" fontId="0" fillId="0" borderId="0" xfId="2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167" fontId="0" fillId="0" borderId="3" xfId="1" applyNumberFormat="1" applyFont="1" applyBorder="1"/>
    <xf numFmtId="167" fontId="0" fillId="0" borderId="4" xfId="1" applyNumberFormat="1" applyFont="1" applyBorder="1"/>
    <xf numFmtId="166" fontId="0" fillId="0" borderId="3" xfId="1" applyNumberFormat="1" applyFont="1" applyBorder="1"/>
    <xf numFmtId="0" fontId="0" fillId="0" borderId="3" xfId="0" applyBorder="1"/>
    <xf numFmtId="0" fontId="0" fillId="0" borderId="4" xfId="0" applyBorder="1"/>
    <xf numFmtId="164" fontId="0" fillId="0" borderId="3" xfId="2" applyFont="1" applyBorder="1"/>
    <xf numFmtId="168" fontId="0" fillId="0" borderId="4" xfId="2" applyNumberFormat="1" applyFont="1" applyBorder="1"/>
    <xf numFmtId="168" fontId="0" fillId="0" borderId="4" xfId="0" applyNumberFormat="1" applyBorder="1"/>
    <xf numFmtId="164" fontId="0" fillId="0" borderId="3" xfId="0" applyNumberFormat="1" applyBorder="1"/>
    <xf numFmtId="167" fontId="0" fillId="0" borderId="5" xfId="1" applyNumberFormat="1" applyFont="1" applyBorder="1"/>
    <xf numFmtId="0" fontId="0" fillId="0" borderId="6" xfId="0" applyBorder="1"/>
    <xf numFmtId="165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7" xfId="0" applyBorder="1"/>
    <xf numFmtId="167" fontId="0" fillId="0" borderId="7" xfId="1" applyNumberFormat="1" applyFont="1" applyBorder="1"/>
    <xf numFmtId="168" fontId="0" fillId="0" borderId="7" xfId="2" applyNumberFormat="1" applyFont="1" applyBorder="1"/>
    <xf numFmtId="164" fontId="0" fillId="0" borderId="7" xfId="0" applyNumberFormat="1" applyBorder="1"/>
    <xf numFmtId="0" fontId="0" fillId="0" borderId="8" xfId="0" applyBorder="1"/>
    <xf numFmtId="167" fontId="0" fillId="0" borderId="8" xfId="1" applyNumberFormat="1" applyFont="1" applyBorder="1"/>
    <xf numFmtId="168" fontId="0" fillId="0" borderId="8" xfId="2" applyNumberFormat="1" applyFont="1" applyBorder="1"/>
    <xf numFmtId="164" fontId="0" fillId="0" borderId="8" xfId="0" applyNumberFormat="1" applyBorder="1"/>
    <xf numFmtId="10" fontId="0" fillId="2" borderId="9" xfId="3" applyNumberFormat="1" applyFont="1" applyFill="1" applyBorder="1" applyAlignment="1">
      <alignment horizontal="center" vertical="center"/>
    </xf>
    <xf numFmtId="10" fontId="0" fillId="2" borderId="10" xfId="3" applyNumberFormat="1" applyFont="1" applyFill="1" applyBorder="1" applyAlignment="1">
      <alignment horizontal="center" vertical="center"/>
    </xf>
    <xf numFmtId="10" fontId="0" fillId="3" borderId="9" xfId="3" applyNumberFormat="1" applyFont="1" applyFill="1" applyBorder="1" applyAlignment="1">
      <alignment horizontal="center" vertical="center"/>
    </xf>
    <xf numFmtId="10" fontId="0" fillId="3" borderId="10" xfId="3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538D-B71D-425B-A009-33027D2C0A6A}">
  <dimension ref="B3:I15"/>
  <sheetViews>
    <sheetView workbookViewId="0">
      <selection activeCell="L14" sqref="L14"/>
    </sheetView>
  </sheetViews>
  <sheetFormatPr baseColWidth="10" defaultColWidth="8.83203125" defaultRowHeight="15" x14ac:dyDescent="0.2"/>
  <cols>
    <col min="2" max="2" width="21.5" style="18" customWidth="1"/>
    <col min="3" max="3" width="9.1640625" customWidth="1"/>
    <col min="4" max="4" width="11.5" customWidth="1"/>
    <col min="5" max="5" width="18.5" customWidth="1"/>
    <col min="6" max="6" width="18.33203125" customWidth="1"/>
    <col min="7" max="7" width="12.33203125" customWidth="1"/>
    <col min="8" max="8" width="23.6640625" customWidth="1"/>
    <col min="9" max="9" width="18.5" customWidth="1"/>
  </cols>
  <sheetData>
    <row r="3" spans="2:9" ht="17" thickBot="1" x14ac:dyDescent="0.25">
      <c r="B3" s="19" t="s">
        <v>31</v>
      </c>
      <c r="C3" s="3"/>
      <c r="D3" s="3" t="s">
        <v>34</v>
      </c>
      <c r="E3" s="3" t="s">
        <v>33</v>
      </c>
      <c r="F3" s="3" t="s">
        <v>35</v>
      </c>
      <c r="G3" s="3" t="s">
        <v>11</v>
      </c>
      <c r="H3" s="3" t="s">
        <v>36</v>
      </c>
      <c r="I3" s="3" t="s">
        <v>37</v>
      </c>
    </row>
    <row r="4" spans="2:9" x14ac:dyDescent="0.2">
      <c r="B4" s="32" t="str">
        <f>Analysis!H2</f>
        <v>Mikes results</v>
      </c>
      <c r="C4" s="20" t="s">
        <v>28</v>
      </c>
      <c r="D4" s="20">
        <f>Analysis!C22</f>
        <v>1014</v>
      </c>
      <c r="E4" s="21">
        <f>Analysis!C23</f>
        <v>1932937.5</v>
      </c>
      <c r="F4" s="22">
        <f>Analysis!D20</f>
        <v>2096875</v>
      </c>
      <c r="G4" s="23">
        <f>Analysis!C20</f>
        <v>1.1000000000000001</v>
      </c>
      <c r="H4" s="23">
        <f>Analysis!C25</f>
        <v>1.0848126232741617</v>
      </c>
      <c r="I4" s="28">
        <f>(H5-H4)/H4</f>
        <v>-0.10369211939892571</v>
      </c>
    </row>
    <row r="5" spans="2:9" ht="16" thickBot="1" x14ac:dyDescent="0.25">
      <c r="B5" s="33"/>
      <c r="C5" s="24" t="s">
        <v>32</v>
      </c>
      <c r="D5" s="24">
        <f>Analysis!I22</f>
        <v>1337</v>
      </c>
      <c r="E5" s="25">
        <f>Analysis!I23</f>
        <v>2007171.25</v>
      </c>
      <c r="F5" s="26">
        <f>Analysis!J20</f>
        <v>1951625</v>
      </c>
      <c r="G5" s="27">
        <f>Analysis!I20</f>
        <v>1.3000000000000003</v>
      </c>
      <c r="H5" s="27">
        <f>Analysis!I25</f>
        <v>0.97232610321615554</v>
      </c>
      <c r="I5" s="29"/>
    </row>
    <row r="6" spans="2:9" ht="30" customHeight="1" x14ac:dyDescent="0.2">
      <c r="B6" s="32" t="str">
        <f>Analysis!H27</f>
        <v>KB with better production</v>
      </c>
      <c r="C6" s="20" t="s">
        <v>28</v>
      </c>
      <c r="D6" s="20">
        <f>Analysis!C46</f>
        <v>1143</v>
      </c>
      <c r="E6" s="21">
        <f>Analysis!C47</f>
        <v>2178843.75</v>
      </c>
      <c r="F6" s="22">
        <f>Analysis!D44</f>
        <v>2096875</v>
      </c>
      <c r="G6" s="23">
        <f>Analysis!C44</f>
        <v>1.1000000000000001</v>
      </c>
      <c r="H6" s="23">
        <f>Analysis!C49</f>
        <v>0.96237970253718286</v>
      </c>
      <c r="I6" s="30">
        <f>(H7-H6)/H6</f>
        <v>1.0335214523696155E-2</v>
      </c>
    </row>
    <row r="7" spans="2:9" ht="16" thickBot="1" x14ac:dyDescent="0.25">
      <c r="B7" s="33"/>
      <c r="C7" s="24" t="s">
        <v>32</v>
      </c>
      <c r="D7" s="24">
        <f>Analysis!I46</f>
        <v>1337</v>
      </c>
      <c r="E7" s="25">
        <f>Analysis!I47</f>
        <v>2007171.25</v>
      </c>
      <c r="F7" s="26">
        <f>Analysis!J44</f>
        <v>1951625</v>
      </c>
      <c r="G7" s="27">
        <f>Analysis!I44</f>
        <v>1.3000000000000003</v>
      </c>
      <c r="H7" s="27">
        <f>Analysis!I49</f>
        <v>0.97232610321615554</v>
      </c>
      <c r="I7" s="31"/>
    </row>
    <row r="8" spans="2:9" x14ac:dyDescent="0.2">
      <c r="B8" s="32" t="str">
        <f>Analysis!H51</f>
        <v>Declining inverter ratio</v>
      </c>
      <c r="C8" s="20" t="s">
        <v>28</v>
      </c>
      <c r="D8" s="20">
        <f>Analysis!C70</f>
        <v>1014</v>
      </c>
      <c r="E8" s="21">
        <f>Analysis!C71</f>
        <v>1932937.5</v>
      </c>
      <c r="F8" s="22">
        <f>Analysis!D68</f>
        <v>2105062.5</v>
      </c>
      <c r="G8" s="23">
        <f>Analysis!C68</f>
        <v>1.104295081967213</v>
      </c>
      <c r="H8" s="23">
        <f>Analysis!C73</f>
        <v>1.0890484043069162</v>
      </c>
      <c r="I8" s="28">
        <f>(H9-H8)/H8</f>
        <v>-7.9346548134884648E-2</v>
      </c>
    </row>
    <row r="9" spans="2:9" ht="16" thickBot="1" x14ac:dyDescent="0.25">
      <c r="B9" s="33"/>
      <c r="C9" s="24" t="s">
        <v>32</v>
      </c>
      <c r="D9" s="24">
        <f>Analysis!I70</f>
        <v>1337</v>
      </c>
      <c r="E9" s="25">
        <f>Analysis!I71</f>
        <v>2007171.25</v>
      </c>
      <c r="F9" s="26">
        <f>Analysis!J68</f>
        <v>2012462.5</v>
      </c>
      <c r="G9" s="27">
        <f>Analysis!I68</f>
        <v>1.3405245628642799</v>
      </c>
      <c r="H9" s="27">
        <f>Analysis!I73</f>
        <v>1.0026361726733581</v>
      </c>
      <c r="I9" s="29"/>
    </row>
    <row r="10" spans="2:9" x14ac:dyDescent="0.2">
      <c r="B10" s="32" t="str">
        <f>Analysis!H75</f>
        <v>Cheaper modules</v>
      </c>
      <c r="C10" s="20" t="s">
        <v>28</v>
      </c>
      <c r="D10" s="20">
        <f>Analysis!C94</f>
        <v>1014</v>
      </c>
      <c r="E10" s="21">
        <f>Analysis!C95</f>
        <v>1932937.5</v>
      </c>
      <c r="F10" s="22">
        <f>Analysis!D92</f>
        <v>1849062.5</v>
      </c>
      <c r="G10" s="23">
        <f>Analysis!C92</f>
        <v>0.97000000000000008</v>
      </c>
      <c r="H10" s="23">
        <f>Analysis!C97</f>
        <v>0.95660749506903353</v>
      </c>
      <c r="I10" s="28">
        <f>(H11-H10)/H10</f>
        <v>-8.5211544541171622E-2</v>
      </c>
    </row>
    <row r="11" spans="2:9" ht="16" thickBot="1" x14ac:dyDescent="0.25">
      <c r="B11" s="33"/>
      <c r="C11" s="24" t="s">
        <v>32</v>
      </c>
      <c r="D11" s="24">
        <f>Analysis!I94</f>
        <v>1337</v>
      </c>
      <c r="E11" s="25">
        <f>Analysis!I95</f>
        <v>2007171.25</v>
      </c>
      <c r="F11" s="26">
        <f>Analysis!J92</f>
        <v>1756462.5</v>
      </c>
      <c r="G11" s="27">
        <f>Analysis!I92</f>
        <v>1.1700000000000002</v>
      </c>
      <c r="H11" s="27">
        <f>Analysis!I97</f>
        <v>0.87509349289453997</v>
      </c>
      <c r="I11" s="29"/>
    </row>
    <row r="12" spans="2:9" ht="30" customHeight="1" x14ac:dyDescent="0.2">
      <c r="B12" s="32" t="str">
        <f>Analysis!H99</f>
        <v>Declining inverter ratio and cheaper panels</v>
      </c>
      <c r="C12" s="20" t="s">
        <v>28</v>
      </c>
      <c r="D12" s="20">
        <f>Analysis!C118</f>
        <v>1014</v>
      </c>
      <c r="E12" s="21">
        <f>Analysis!C119</f>
        <v>1932937.5</v>
      </c>
      <c r="F12" s="22">
        <f>Analysis!D116</f>
        <v>1857250</v>
      </c>
      <c r="G12" s="23">
        <f>Analysis!C116</f>
        <v>0.97429508196721315</v>
      </c>
      <c r="H12" s="23">
        <f>Analysis!C121</f>
        <v>0.9608432761017881</v>
      </c>
      <c r="I12" s="28">
        <f>(H13-H12)/H12</f>
        <v>-5.7699018277953221E-2</v>
      </c>
    </row>
    <row r="13" spans="2:9" ht="16" thickBot="1" x14ac:dyDescent="0.25">
      <c r="B13" s="33"/>
      <c r="C13" s="24" t="s">
        <v>32</v>
      </c>
      <c r="D13" s="24">
        <f>Analysis!I118</f>
        <v>1337</v>
      </c>
      <c r="E13" s="25">
        <f>Analysis!I119</f>
        <v>2007171.25</v>
      </c>
      <c r="F13" s="26">
        <f>Analysis!J116</f>
        <v>1817300</v>
      </c>
      <c r="G13" s="27">
        <f>Analysis!I116</f>
        <v>1.21052456286428</v>
      </c>
      <c r="H13" s="27">
        <f>Analysis!I121</f>
        <v>0.90540356235174257</v>
      </c>
      <c r="I13" s="29"/>
    </row>
    <row r="14" spans="2:9" ht="45" customHeight="1" x14ac:dyDescent="0.2">
      <c r="B14" s="32" t="str">
        <f>Analysis!H124</f>
        <v>Declining inverter ratio and cheaper panels and better production</v>
      </c>
      <c r="C14" s="20" t="s">
        <v>28</v>
      </c>
      <c r="D14" s="20">
        <f>Analysis!C143</f>
        <v>1143</v>
      </c>
      <c r="E14" s="21">
        <f>Analysis!C144</f>
        <v>2178843.75</v>
      </c>
      <c r="F14" s="22">
        <f>Analysis!D141</f>
        <v>1857250</v>
      </c>
      <c r="G14" s="23">
        <f>Analysis!C141</f>
        <v>0.97429508196721315</v>
      </c>
      <c r="H14" s="23">
        <f>Analysis!C146</f>
        <v>0.85240164651549699</v>
      </c>
      <c r="I14" s="30">
        <f>(H15-H14)/H14</f>
        <v>6.217950898254393E-2</v>
      </c>
    </row>
    <row r="15" spans="2:9" ht="16" thickBot="1" x14ac:dyDescent="0.25">
      <c r="B15" s="33"/>
      <c r="C15" s="24" t="s">
        <v>32</v>
      </c>
      <c r="D15" s="24">
        <f>Analysis!I143</f>
        <v>1337</v>
      </c>
      <c r="E15" s="25">
        <f>Analysis!I144</f>
        <v>2007171.25</v>
      </c>
      <c r="F15" s="26">
        <f>Analysis!J141</f>
        <v>1817300</v>
      </c>
      <c r="G15" s="27">
        <f>Analysis!I141</f>
        <v>1.21052456286428</v>
      </c>
      <c r="H15" s="27">
        <f>Analysis!I146</f>
        <v>0.90540356235174257</v>
      </c>
      <c r="I15" s="31"/>
    </row>
  </sheetData>
  <mergeCells count="12">
    <mergeCell ref="I14:I15"/>
    <mergeCell ref="B4:B5"/>
    <mergeCell ref="B6:B7"/>
    <mergeCell ref="B8:B9"/>
    <mergeCell ref="B10:B11"/>
    <mergeCell ref="B12:B13"/>
    <mergeCell ref="B14:B15"/>
    <mergeCell ref="I4:I5"/>
    <mergeCell ref="I6:I7"/>
    <mergeCell ref="I8:I9"/>
    <mergeCell ref="I10:I11"/>
    <mergeCell ref="I12:I13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F0FC4-0E33-4197-8240-B5317BD24C76}">
  <dimension ref="B2:O146"/>
  <sheetViews>
    <sheetView tabSelected="1" topLeftCell="A115" workbookViewId="0">
      <selection activeCell="D93" sqref="D93"/>
    </sheetView>
  </sheetViews>
  <sheetFormatPr baseColWidth="10" defaultColWidth="8.83203125" defaultRowHeight="15" x14ac:dyDescent="0.2"/>
  <cols>
    <col min="2" max="2" width="30" bestFit="1" customWidth="1"/>
    <col min="3" max="3" width="13.33203125" bestFit="1" customWidth="1"/>
    <col min="4" max="4" width="14.33203125" bestFit="1" customWidth="1"/>
    <col min="5" max="5" width="10.5" bestFit="1" customWidth="1"/>
    <col min="6" max="6" width="14.33203125" bestFit="1" customWidth="1"/>
    <col min="7" max="7" width="10.5" bestFit="1" customWidth="1"/>
    <col min="8" max="8" width="14.33203125" bestFit="1" customWidth="1"/>
    <col min="9" max="9" width="10.5" bestFit="1" customWidth="1"/>
    <col min="10" max="10" width="14.33203125" bestFit="1" customWidth="1"/>
    <col min="11" max="11" width="10.5" bestFit="1" customWidth="1"/>
    <col min="12" max="12" width="14.33203125" bestFit="1" customWidth="1"/>
    <col min="15" max="15" width="11.5" bestFit="1" customWidth="1"/>
  </cols>
  <sheetData>
    <row r="2" spans="2:15" x14ac:dyDescent="0.2">
      <c r="H2" s="3" t="s">
        <v>16</v>
      </c>
    </row>
    <row r="3" spans="2:15" x14ac:dyDescent="0.2">
      <c r="B3" t="s">
        <v>26</v>
      </c>
      <c r="H3">
        <v>625</v>
      </c>
    </row>
    <row r="4" spans="2:15" ht="16" thickBot="1" x14ac:dyDescent="0.25">
      <c r="B4" t="s">
        <v>27</v>
      </c>
      <c r="D4" t="s">
        <v>28</v>
      </c>
      <c r="F4" t="s">
        <v>29</v>
      </c>
      <c r="H4" t="s">
        <v>29</v>
      </c>
      <c r="J4" t="s">
        <v>29</v>
      </c>
      <c r="L4" t="s">
        <v>29</v>
      </c>
    </row>
    <row r="5" spans="2:15" x14ac:dyDescent="0.2">
      <c r="B5" t="s">
        <v>0</v>
      </c>
      <c r="C5" s="4">
        <v>10</v>
      </c>
      <c r="D5" s="5"/>
      <c r="E5" s="4">
        <v>10</v>
      </c>
      <c r="F5" s="5"/>
      <c r="G5" s="4">
        <v>15</v>
      </c>
      <c r="H5" s="5"/>
      <c r="I5" s="4">
        <v>20</v>
      </c>
      <c r="J5" s="5"/>
      <c r="K5" s="4">
        <v>25</v>
      </c>
      <c r="L5" s="5"/>
    </row>
    <row r="6" spans="2:15" x14ac:dyDescent="0.2">
      <c r="B6" t="s">
        <v>2</v>
      </c>
      <c r="C6" s="9">
        <v>3050</v>
      </c>
      <c r="D6" s="10"/>
      <c r="E6" s="9">
        <v>3060</v>
      </c>
      <c r="F6" s="10"/>
      <c r="G6" s="9">
        <v>2655</v>
      </c>
      <c r="H6" s="10"/>
      <c r="I6" s="9">
        <v>2402</v>
      </c>
      <c r="J6" s="10"/>
      <c r="K6" s="9">
        <v>2288</v>
      </c>
      <c r="L6" s="10"/>
    </row>
    <row r="7" spans="2:15" x14ac:dyDescent="0.2">
      <c r="B7" t="s">
        <v>12</v>
      </c>
      <c r="C7" s="6">
        <f>C6*$H$3</f>
        <v>1906250</v>
      </c>
      <c r="D7" s="7"/>
      <c r="E7" s="6">
        <f>E6*$H$3</f>
        <v>1912500</v>
      </c>
      <c r="F7" s="7"/>
      <c r="G7" s="6">
        <f>G6*$H$3</f>
        <v>1659375</v>
      </c>
      <c r="H7" s="7"/>
      <c r="I7" s="6">
        <f>I6*$H$3</f>
        <v>1501250</v>
      </c>
      <c r="J7" s="7"/>
      <c r="K7" s="6">
        <f>K6*$H$3</f>
        <v>1430000</v>
      </c>
      <c r="L7" s="7"/>
      <c r="M7" s="1"/>
    </row>
    <row r="8" spans="2:15" x14ac:dyDescent="0.2">
      <c r="B8" t="s">
        <v>15</v>
      </c>
      <c r="C8" s="8">
        <v>1.6</v>
      </c>
      <c r="D8" s="7"/>
      <c r="E8" s="8">
        <v>1.6</v>
      </c>
      <c r="F8" s="7"/>
      <c r="G8" s="8">
        <v>1.6</v>
      </c>
      <c r="H8" s="7"/>
      <c r="I8" s="8">
        <v>1.6</v>
      </c>
      <c r="J8" s="7"/>
      <c r="K8" s="8">
        <v>1.6</v>
      </c>
      <c r="L8" s="7"/>
      <c r="M8" s="1"/>
    </row>
    <row r="9" spans="2:15" x14ac:dyDescent="0.2">
      <c r="B9" t="s">
        <v>13</v>
      </c>
      <c r="C9" s="6">
        <f>C7/C8</f>
        <v>1191406.25</v>
      </c>
      <c r="D9" s="7"/>
      <c r="E9" s="6">
        <f>E7/E8</f>
        <v>1195312.5</v>
      </c>
      <c r="F9" s="7"/>
      <c r="G9" s="6">
        <f>G7/G8</f>
        <v>1037109.375</v>
      </c>
      <c r="H9" s="7"/>
      <c r="I9" s="6">
        <f>I7/I8</f>
        <v>938281.25</v>
      </c>
      <c r="J9" s="7"/>
      <c r="K9" s="6">
        <f>K7/K8</f>
        <v>893750</v>
      </c>
      <c r="L9" s="7"/>
      <c r="M9" s="1"/>
    </row>
    <row r="10" spans="2:15" x14ac:dyDescent="0.2">
      <c r="B10" t="s">
        <v>14</v>
      </c>
      <c r="C10" s="6">
        <f>C9/155000</f>
        <v>7.686491935483871</v>
      </c>
      <c r="D10" s="7"/>
      <c r="E10" s="6">
        <f>E9/155000</f>
        <v>7.711693548387097</v>
      </c>
      <c r="F10" s="7"/>
      <c r="G10" s="6">
        <f>G9/155000</f>
        <v>6.691028225806452</v>
      </c>
      <c r="H10" s="7"/>
      <c r="I10" s="6">
        <f>I9/155000</f>
        <v>6.053427419354839</v>
      </c>
      <c r="J10" s="7"/>
      <c r="K10" s="6">
        <f>K9/155000</f>
        <v>5.7661290322580649</v>
      </c>
      <c r="L10" s="7"/>
      <c r="M10" s="1"/>
    </row>
    <row r="11" spans="2:15" x14ac:dyDescent="0.2">
      <c r="C11" s="9"/>
      <c r="D11" s="10"/>
      <c r="E11" s="9"/>
      <c r="F11" s="10"/>
      <c r="G11" s="9"/>
      <c r="H11" s="10"/>
      <c r="I11" s="9"/>
      <c r="J11" s="10"/>
      <c r="K11" s="9"/>
      <c r="L11" s="10"/>
    </row>
    <row r="12" spans="2:15" x14ac:dyDescent="0.2">
      <c r="B12" t="s">
        <v>3</v>
      </c>
      <c r="C12" s="9"/>
      <c r="D12" s="10"/>
      <c r="E12" s="9"/>
      <c r="F12" s="10"/>
      <c r="G12" s="9"/>
      <c r="H12" s="10"/>
      <c r="I12" s="9"/>
      <c r="J12" s="10"/>
      <c r="K12" s="9"/>
      <c r="L12" s="10"/>
    </row>
    <row r="13" spans="2:15" x14ac:dyDescent="0.2">
      <c r="B13" t="s">
        <v>1</v>
      </c>
      <c r="C13" s="11">
        <v>0.3</v>
      </c>
      <c r="D13" s="12">
        <f>C13*C$7</f>
        <v>571875</v>
      </c>
      <c r="E13" s="11">
        <v>0.3</v>
      </c>
      <c r="F13" s="12">
        <f>E13*E$7</f>
        <v>573750</v>
      </c>
      <c r="G13" s="11">
        <v>0.3</v>
      </c>
      <c r="H13" s="12">
        <f>G13*G$7</f>
        <v>497812.5</v>
      </c>
      <c r="I13" s="11">
        <v>0.3</v>
      </c>
      <c r="J13" s="12">
        <f>I13*I$7</f>
        <v>450375</v>
      </c>
      <c r="K13" s="11">
        <v>0.3</v>
      </c>
      <c r="L13" s="12">
        <f>K13*K$7</f>
        <v>429000</v>
      </c>
      <c r="M13" s="2"/>
      <c r="N13" s="2"/>
    </row>
    <row r="14" spans="2:15" x14ac:dyDescent="0.2">
      <c r="B14" t="s">
        <v>4</v>
      </c>
      <c r="C14" s="11">
        <v>0.13</v>
      </c>
      <c r="D14" s="12">
        <f t="shared" ref="D14:F18" si="0">C14*C$7</f>
        <v>247812.5</v>
      </c>
      <c r="E14" s="11">
        <v>0.13</v>
      </c>
      <c r="F14" s="12">
        <f t="shared" si="0"/>
        <v>248625</v>
      </c>
      <c r="G14" s="11">
        <v>0.13</v>
      </c>
      <c r="H14" s="12">
        <f t="shared" ref="H14" si="1">G14*G$7</f>
        <v>215718.75</v>
      </c>
      <c r="I14" s="11">
        <v>0.13</v>
      </c>
      <c r="J14" s="12">
        <f t="shared" ref="J14" si="2">I14*I$7</f>
        <v>195162.5</v>
      </c>
      <c r="K14" s="11">
        <v>0.13</v>
      </c>
      <c r="L14" s="12">
        <f t="shared" ref="L14" si="3">K14*K$7</f>
        <v>185900</v>
      </c>
      <c r="M14" s="2"/>
      <c r="N14" s="2"/>
      <c r="O14" s="17"/>
    </row>
    <row r="15" spans="2:15" x14ac:dyDescent="0.2">
      <c r="B15" t="s">
        <v>5</v>
      </c>
      <c r="C15" s="11">
        <v>0.19</v>
      </c>
      <c r="D15" s="12">
        <f t="shared" si="0"/>
        <v>362187.5</v>
      </c>
      <c r="E15" s="11">
        <v>0.34</v>
      </c>
      <c r="F15" s="12">
        <f t="shared" si="0"/>
        <v>650250</v>
      </c>
      <c r="G15" s="11">
        <v>0.37</v>
      </c>
      <c r="H15" s="12">
        <f t="shared" ref="H15" si="4">G15*G$7</f>
        <v>613968.75</v>
      </c>
      <c r="I15" s="11">
        <v>0.39</v>
      </c>
      <c r="J15" s="12">
        <f t="shared" ref="J15" si="5">I15*I$7</f>
        <v>585487.5</v>
      </c>
      <c r="K15" s="11">
        <v>0.47</v>
      </c>
      <c r="L15" s="12">
        <f t="shared" ref="L15" si="6">K15*K$7</f>
        <v>672100</v>
      </c>
      <c r="M15" s="2"/>
      <c r="N15" s="2"/>
    </row>
    <row r="16" spans="2:15" x14ac:dyDescent="0.2">
      <c r="B16" t="s">
        <v>6</v>
      </c>
      <c r="C16" s="11">
        <v>0.03</v>
      </c>
      <c r="D16" s="12">
        <f t="shared" si="0"/>
        <v>57187.5</v>
      </c>
      <c r="E16" s="11">
        <v>0.02</v>
      </c>
      <c r="F16" s="12">
        <f t="shared" si="0"/>
        <v>38250</v>
      </c>
      <c r="G16" s="11">
        <v>0.02</v>
      </c>
      <c r="H16" s="12">
        <f t="shared" ref="H16" si="7">G16*G$7</f>
        <v>33187.5</v>
      </c>
      <c r="I16" s="11">
        <v>0.03</v>
      </c>
      <c r="J16" s="12">
        <f t="shared" ref="J16" si="8">I16*I$7</f>
        <v>45037.5</v>
      </c>
      <c r="K16" s="11">
        <v>0.03</v>
      </c>
      <c r="L16" s="12">
        <f t="shared" ref="L16" si="9">K16*K$7</f>
        <v>42900</v>
      </c>
      <c r="M16" s="2"/>
      <c r="N16" s="2"/>
    </row>
    <row r="17" spans="2:14" x14ac:dyDescent="0.2">
      <c r="B17" t="s">
        <v>7</v>
      </c>
      <c r="C17" s="11">
        <v>0.05</v>
      </c>
      <c r="D17" s="12">
        <f t="shared" si="0"/>
        <v>95312.5</v>
      </c>
      <c r="E17" s="11">
        <v>0.05</v>
      </c>
      <c r="F17" s="12">
        <f t="shared" si="0"/>
        <v>95625</v>
      </c>
      <c r="G17" s="11">
        <v>0.05</v>
      </c>
      <c r="H17" s="12">
        <f t="shared" ref="H17" si="10">G17*G$7</f>
        <v>82968.75</v>
      </c>
      <c r="I17" s="11">
        <v>0.05</v>
      </c>
      <c r="J17" s="12">
        <f t="shared" ref="J17" si="11">I17*I$7</f>
        <v>75062.5</v>
      </c>
      <c r="K17" s="11">
        <v>0.05</v>
      </c>
      <c r="L17" s="12">
        <f t="shared" ref="L17" si="12">K17*K$7</f>
        <v>71500</v>
      </c>
      <c r="M17" s="2"/>
      <c r="N17" s="2"/>
    </row>
    <row r="18" spans="2:14" x14ac:dyDescent="0.2">
      <c r="B18" t="s">
        <v>8</v>
      </c>
      <c r="C18" s="11">
        <v>0.4</v>
      </c>
      <c r="D18" s="12">
        <f t="shared" si="0"/>
        <v>762500</v>
      </c>
      <c r="E18" s="11">
        <v>0.4</v>
      </c>
      <c r="F18" s="12">
        <f t="shared" si="0"/>
        <v>765000</v>
      </c>
      <c r="G18" s="11">
        <v>0.4</v>
      </c>
      <c r="H18" s="12">
        <f t="shared" ref="H18" si="13">G18*G$7</f>
        <v>663750</v>
      </c>
      <c r="I18" s="11">
        <v>0.4</v>
      </c>
      <c r="J18" s="12">
        <f t="shared" ref="J18" si="14">I18*I$7</f>
        <v>600500</v>
      </c>
      <c r="K18" s="11">
        <v>0.4</v>
      </c>
      <c r="L18" s="12">
        <f t="shared" ref="L18" si="15">K18*K$7</f>
        <v>572000</v>
      </c>
      <c r="M18" s="2"/>
      <c r="N18" s="2"/>
    </row>
    <row r="19" spans="2:14" x14ac:dyDescent="0.2">
      <c r="C19" s="9"/>
      <c r="D19" s="13"/>
      <c r="E19" s="9"/>
      <c r="F19" s="13"/>
      <c r="G19" s="9"/>
      <c r="H19" s="13"/>
      <c r="I19" s="9"/>
      <c r="J19" s="13"/>
      <c r="K19" s="9"/>
      <c r="L19" s="13"/>
    </row>
    <row r="20" spans="2:14" x14ac:dyDescent="0.2">
      <c r="B20" t="s">
        <v>11</v>
      </c>
      <c r="C20" s="14">
        <f>SUM(C13:C19)</f>
        <v>1.1000000000000001</v>
      </c>
      <c r="D20" s="13">
        <f>SUM(D13:D19)</f>
        <v>2096875</v>
      </c>
      <c r="E20" s="14">
        <f t="shared" ref="E20:L20" si="16">SUM(E13:E19)</f>
        <v>1.2400000000000002</v>
      </c>
      <c r="F20" s="13">
        <f t="shared" si="16"/>
        <v>2371500</v>
      </c>
      <c r="G20" s="14">
        <f t="shared" si="16"/>
        <v>1.27</v>
      </c>
      <c r="H20" s="13">
        <f t="shared" si="16"/>
        <v>2107406.25</v>
      </c>
      <c r="I20" s="14">
        <f t="shared" si="16"/>
        <v>1.3000000000000003</v>
      </c>
      <c r="J20" s="13">
        <f t="shared" si="16"/>
        <v>1951625</v>
      </c>
      <c r="K20" s="14">
        <f t="shared" si="16"/>
        <v>1.38</v>
      </c>
      <c r="L20" s="13">
        <f t="shared" si="16"/>
        <v>1973400</v>
      </c>
    </row>
    <row r="21" spans="2:14" x14ac:dyDescent="0.2">
      <c r="C21" s="9"/>
      <c r="D21" s="10"/>
      <c r="E21" s="9"/>
      <c r="F21" s="10"/>
      <c r="G21" s="9"/>
      <c r="H21" s="10"/>
      <c r="I21" s="9"/>
      <c r="J21" s="10"/>
      <c r="K21" s="9"/>
      <c r="L21" s="10"/>
    </row>
    <row r="22" spans="2:14" x14ac:dyDescent="0.2">
      <c r="B22" t="s">
        <v>9</v>
      </c>
      <c r="C22" s="9">
        <v>1014</v>
      </c>
      <c r="D22" s="10"/>
      <c r="E22" s="9">
        <v>1143</v>
      </c>
      <c r="F22" s="10"/>
      <c r="G22" s="9">
        <v>1252</v>
      </c>
      <c r="H22" s="10"/>
      <c r="I22" s="9">
        <v>1337</v>
      </c>
      <c r="J22" s="10"/>
      <c r="K22" s="9">
        <v>1352</v>
      </c>
      <c r="L22" s="10"/>
    </row>
    <row r="23" spans="2:14" ht="16" thickBot="1" x14ac:dyDescent="0.25">
      <c r="B23" t="s">
        <v>10</v>
      </c>
      <c r="C23" s="15">
        <f>C7*C22/1000</f>
        <v>1932937.5</v>
      </c>
      <c r="D23" s="16"/>
      <c r="E23" s="15">
        <f>E7*E22/1000</f>
        <v>2185987.5</v>
      </c>
      <c r="F23" s="16"/>
      <c r="G23" s="15">
        <f>G7*G22/1000</f>
        <v>2077537.5</v>
      </c>
      <c r="H23" s="16"/>
      <c r="I23" s="15">
        <f>I7*I22/1000</f>
        <v>2007171.25</v>
      </c>
      <c r="J23" s="16"/>
      <c r="K23" s="15">
        <f>K7*K22/1000</f>
        <v>1933360</v>
      </c>
      <c r="L23" s="16"/>
    </row>
    <row r="25" spans="2:14" x14ac:dyDescent="0.2">
      <c r="B25" t="s">
        <v>30</v>
      </c>
      <c r="C25" s="2">
        <f>D20/C23</f>
        <v>1.0848126232741617</v>
      </c>
      <c r="D25" s="2"/>
      <c r="E25" s="2">
        <f>F20/E23</f>
        <v>1.0848643919510061</v>
      </c>
      <c r="F25" s="2"/>
      <c r="G25" s="2">
        <f>H20/G23</f>
        <v>1.0143769968051117</v>
      </c>
      <c r="H25" s="2"/>
      <c r="I25" s="2">
        <f>J20/I23</f>
        <v>0.97232610321615554</v>
      </c>
      <c r="J25" s="2"/>
      <c r="K25" s="2">
        <f>L20/K23</f>
        <v>1.0207100591715976</v>
      </c>
    </row>
    <row r="27" spans="2:14" x14ac:dyDescent="0.2">
      <c r="B27" t="s">
        <v>17</v>
      </c>
      <c r="H27" t="s">
        <v>18</v>
      </c>
    </row>
    <row r="28" spans="2:14" ht="16" thickBot="1" x14ac:dyDescent="0.25"/>
    <row r="29" spans="2:14" x14ac:dyDescent="0.2">
      <c r="B29" t="s">
        <v>0</v>
      </c>
      <c r="C29" s="4">
        <v>10</v>
      </c>
      <c r="D29" s="5"/>
      <c r="E29" s="4">
        <v>10</v>
      </c>
      <c r="F29" s="5"/>
      <c r="G29" s="4">
        <v>15</v>
      </c>
      <c r="H29" s="5"/>
      <c r="I29" s="4">
        <v>20</v>
      </c>
      <c r="J29" s="5"/>
      <c r="K29" s="4">
        <v>25</v>
      </c>
      <c r="L29" s="5"/>
    </row>
    <row r="30" spans="2:14" x14ac:dyDescent="0.2">
      <c r="B30" t="s">
        <v>2</v>
      </c>
      <c r="C30" s="9">
        <v>3050</v>
      </c>
      <c r="D30" s="10"/>
      <c r="E30" s="9">
        <v>3060</v>
      </c>
      <c r="F30" s="10"/>
      <c r="G30" s="9">
        <v>2655</v>
      </c>
      <c r="H30" s="10"/>
      <c r="I30" s="9">
        <v>2402</v>
      </c>
      <c r="J30" s="10"/>
      <c r="K30" s="9">
        <v>2288</v>
      </c>
      <c r="L30" s="10"/>
    </row>
    <row r="31" spans="2:14" x14ac:dyDescent="0.2">
      <c r="B31" t="s">
        <v>12</v>
      </c>
      <c r="C31" s="6">
        <f>C30*$H$3</f>
        <v>1906250</v>
      </c>
      <c r="D31" s="7"/>
      <c r="E31" s="6">
        <f>E30*$H$3</f>
        <v>1912500</v>
      </c>
      <c r="F31" s="7"/>
      <c r="G31" s="6">
        <f>G30*$H$3</f>
        <v>1659375</v>
      </c>
      <c r="H31" s="7"/>
      <c r="I31" s="6">
        <f>I30*$H$3</f>
        <v>1501250</v>
      </c>
      <c r="J31" s="7"/>
      <c r="K31" s="6">
        <f>K30*$H$3</f>
        <v>1430000</v>
      </c>
      <c r="L31" s="7"/>
    </row>
    <row r="32" spans="2:14" x14ac:dyDescent="0.2">
      <c r="B32" t="s">
        <v>15</v>
      </c>
      <c r="C32" s="8">
        <v>1.6</v>
      </c>
      <c r="D32" s="7"/>
      <c r="E32" s="8">
        <v>1.6</v>
      </c>
      <c r="F32" s="7"/>
      <c r="G32" s="8">
        <v>1.6</v>
      </c>
      <c r="H32" s="7"/>
      <c r="I32" s="8">
        <v>1.6</v>
      </c>
      <c r="J32" s="7"/>
      <c r="K32" s="8">
        <v>1.6</v>
      </c>
      <c r="L32" s="7"/>
    </row>
    <row r="33" spans="2:12" x14ac:dyDescent="0.2">
      <c r="B33" t="s">
        <v>13</v>
      </c>
      <c r="C33" s="6">
        <f>C31/C32</f>
        <v>1191406.25</v>
      </c>
      <c r="D33" s="7"/>
      <c r="E33" s="6">
        <f>E31/E32</f>
        <v>1195312.5</v>
      </c>
      <c r="F33" s="7"/>
      <c r="G33" s="6">
        <f>G31/G32</f>
        <v>1037109.375</v>
      </c>
      <c r="H33" s="7"/>
      <c r="I33" s="6">
        <f>I31/I32</f>
        <v>938281.25</v>
      </c>
      <c r="J33" s="7"/>
      <c r="K33" s="6">
        <f>K31/K32</f>
        <v>893750</v>
      </c>
      <c r="L33" s="7"/>
    </row>
    <row r="34" spans="2:12" x14ac:dyDescent="0.2">
      <c r="B34" t="s">
        <v>14</v>
      </c>
      <c r="C34" s="6">
        <f>C33/155000</f>
        <v>7.686491935483871</v>
      </c>
      <c r="D34" s="7"/>
      <c r="E34" s="6">
        <f>E33/155000</f>
        <v>7.711693548387097</v>
      </c>
      <c r="F34" s="7"/>
      <c r="G34" s="6">
        <f>G33/155000</f>
        <v>6.691028225806452</v>
      </c>
      <c r="H34" s="7"/>
      <c r="I34" s="6">
        <f>I33/155000</f>
        <v>6.053427419354839</v>
      </c>
      <c r="J34" s="7"/>
      <c r="K34" s="6">
        <f>K33/155000</f>
        <v>5.7661290322580649</v>
      </c>
      <c r="L34" s="7"/>
    </row>
    <row r="35" spans="2:12" x14ac:dyDescent="0.2">
      <c r="C35" s="9"/>
      <c r="D35" s="10"/>
      <c r="E35" s="9"/>
      <c r="F35" s="10"/>
      <c r="G35" s="9"/>
      <c r="H35" s="10"/>
      <c r="I35" s="9"/>
      <c r="J35" s="10"/>
      <c r="K35" s="9"/>
      <c r="L35" s="10"/>
    </row>
    <row r="36" spans="2:12" x14ac:dyDescent="0.2">
      <c r="B36" t="s">
        <v>3</v>
      </c>
      <c r="C36" s="9"/>
      <c r="D36" s="10"/>
      <c r="E36" s="9"/>
      <c r="F36" s="10"/>
      <c r="G36" s="9"/>
      <c r="H36" s="10"/>
      <c r="I36" s="9"/>
      <c r="J36" s="10"/>
      <c r="K36" s="9"/>
      <c r="L36" s="10"/>
    </row>
    <row r="37" spans="2:12" x14ac:dyDescent="0.2">
      <c r="B37" t="s">
        <v>1</v>
      </c>
      <c r="C37" s="11">
        <v>0.3</v>
      </c>
      <c r="D37" s="12">
        <f>C37*C$7</f>
        <v>571875</v>
      </c>
      <c r="E37" s="11">
        <v>0.3</v>
      </c>
      <c r="F37" s="12">
        <f>E37*E$7</f>
        <v>573750</v>
      </c>
      <c r="G37" s="11">
        <v>0.3</v>
      </c>
      <c r="H37" s="12">
        <f>G37*G$7</f>
        <v>497812.5</v>
      </c>
      <c r="I37" s="11">
        <v>0.3</v>
      </c>
      <c r="J37" s="12">
        <f>I37*I$7</f>
        <v>450375</v>
      </c>
      <c r="K37" s="11">
        <v>0.3</v>
      </c>
      <c r="L37" s="12">
        <f>K37*K$7</f>
        <v>429000</v>
      </c>
    </row>
    <row r="38" spans="2:12" x14ac:dyDescent="0.2">
      <c r="B38" t="s">
        <v>4</v>
      </c>
      <c r="C38" s="11">
        <v>0.13</v>
      </c>
      <c r="D38" s="12">
        <f t="shared" ref="D38" si="17">C38*C$7</f>
        <v>247812.5</v>
      </c>
      <c r="E38" s="11">
        <v>0.13</v>
      </c>
      <c r="F38" s="12">
        <f t="shared" ref="F38" si="18">E38*E$7</f>
        <v>248625</v>
      </c>
      <c r="G38" s="11">
        <v>0.13</v>
      </c>
      <c r="H38" s="12">
        <f t="shared" ref="H38:H42" si="19">G38*G$7</f>
        <v>215718.75</v>
      </c>
      <c r="I38" s="11">
        <v>0.13</v>
      </c>
      <c r="J38" s="12">
        <f t="shared" ref="J38:J42" si="20">I38*I$7</f>
        <v>195162.5</v>
      </c>
      <c r="K38" s="11">
        <v>0.13</v>
      </c>
      <c r="L38" s="12">
        <f t="shared" ref="L38:L42" si="21">K38*K$7</f>
        <v>185900</v>
      </c>
    </row>
    <row r="39" spans="2:12" x14ac:dyDescent="0.2">
      <c r="B39" t="s">
        <v>5</v>
      </c>
      <c r="C39" s="11">
        <v>0.19</v>
      </c>
      <c r="D39" s="12">
        <f t="shared" ref="D39" si="22">C39*C$7</f>
        <v>362187.5</v>
      </c>
      <c r="E39" s="11">
        <v>0.34</v>
      </c>
      <c r="F39" s="12">
        <f t="shared" ref="F39" si="23">E39*E$7</f>
        <v>650250</v>
      </c>
      <c r="G39" s="11">
        <v>0.37</v>
      </c>
      <c r="H39" s="12">
        <f t="shared" si="19"/>
        <v>613968.75</v>
      </c>
      <c r="I39" s="11">
        <v>0.39</v>
      </c>
      <c r="J39" s="12">
        <f t="shared" si="20"/>
        <v>585487.5</v>
      </c>
      <c r="K39" s="11">
        <v>0.47</v>
      </c>
      <c r="L39" s="12">
        <f t="shared" si="21"/>
        <v>672100</v>
      </c>
    </row>
    <row r="40" spans="2:12" x14ac:dyDescent="0.2">
      <c r="B40" t="s">
        <v>6</v>
      </c>
      <c r="C40" s="11">
        <v>0.03</v>
      </c>
      <c r="D40" s="12">
        <f t="shared" ref="D40" si="24">C40*C$7</f>
        <v>57187.5</v>
      </c>
      <c r="E40" s="11">
        <v>0.02</v>
      </c>
      <c r="F40" s="12">
        <f t="shared" ref="F40" si="25">E40*E$7</f>
        <v>38250</v>
      </c>
      <c r="G40" s="11">
        <v>0.02</v>
      </c>
      <c r="H40" s="12">
        <f t="shared" si="19"/>
        <v>33187.5</v>
      </c>
      <c r="I40" s="11">
        <v>0.03</v>
      </c>
      <c r="J40" s="12">
        <f t="shared" si="20"/>
        <v>45037.5</v>
      </c>
      <c r="K40" s="11">
        <v>0.03</v>
      </c>
      <c r="L40" s="12">
        <f t="shared" si="21"/>
        <v>42900</v>
      </c>
    </row>
    <row r="41" spans="2:12" x14ac:dyDescent="0.2">
      <c r="B41" t="s">
        <v>7</v>
      </c>
      <c r="C41" s="11">
        <v>0.05</v>
      </c>
      <c r="D41" s="12">
        <f t="shared" ref="D41" si="26">C41*C$7</f>
        <v>95312.5</v>
      </c>
      <c r="E41" s="11">
        <v>0.05</v>
      </c>
      <c r="F41" s="12">
        <f t="shared" ref="F41" si="27">E41*E$7</f>
        <v>95625</v>
      </c>
      <c r="G41" s="11">
        <v>0.05</v>
      </c>
      <c r="H41" s="12">
        <f t="shared" si="19"/>
        <v>82968.75</v>
      </c>
      <c r="I41" s="11">
        <v>0.05</v>
      </c>
      <c r="J41" s="12">
        <f t="shared" si="20"/>
        <v>75062.5</v>
      </c>
      <c r="K41" s="11">
        <v>0.05</v>
      </c>
      <c r="L41" s="12">
        <f t="shared" si="21"/>
        <v>71500</v>
      </c>
    </row>
    <row r="42" spans="2:12" x14ac:dyDescent="0.2">
      <c r="B42" t="s">
        <v>8</v>
      </c>
      <c r="C42" s="11">
        <v>0.4</v>
      </c>
      <c r="D42" s="12">
        <f t="shared" ref="D42" si="28">C42*C$7</f>
        <v>762500</v>
      </c>
      <c r="E42" s="11">
        <v>0.4</v>
      </c>
      <c r="F42" s="12">
        <f t="shared" ref="F42" si="29">E42*E$7</f>
        <v>765000</v>
      </c>
      <c r="G42" s="11">
        <v>0.4</v>
      </c>
      <c r="H42" s="12">
        <f t="shared" si="19"/>
        <v>663750</v>
      </c>
      <c r="I42" s="11">
        <v>0.4</v>
      </c>
      <c r="J42" s="12">
        <f t="shared" si="20"/>
        <v>600500</v>
      </c>
      <c r="K42" s="11">
        <v>0.4</v>
      </c>
      <c r="L42" s="12">
        <f t="shared" si="21"/>
        <v>572000</v>
      </c>
    </row>
    <row r="43" spans="2:12" x14ac:dyDescent="0.2">
      <c r="C43" s="9"/>
      <c r="D43" s="13"/>
      <c r="E43" s="9"/>
      <c r="F43" s="13"/>
      <c r="G43" s="9"/>
      <c r="H43" s="13"/>
      <c r="I43" s="9"/>
      <c r="J43" s="13"/>
      <c r="K43" s="9"/>
      <c r="L43" s="13"/>
    </row>
    <row r="44" spans="2:12" x14ac:dyDescent="0.2">
      <c r="B44" t="s">
        <v>11</v>
      </c>
      <c r="C44" s="14">
        <f>SUM(C37:C43)</f>
        <v>1.1000000000000001</v>
      </c>
      <c r="D44" s="13">
        <f>SUM(D37:D43)</f>
        <v>2096875</v>
      </c>
      <c r="E44" s="14">
        <f t="shared" ref="E44" si="30">SUM(E37:E43)</f>
        <v>1.2400000000000002</v>
      </c>
      <c r="F44" s="13">
        <f t="shared" ref="F44" si="31">SUM(F37:F43)</f>
        <v>2371500</v>
      </c>
      <c r="G44" s="14">
        <f t="shared" ref="G44" si="32">SUM(G37:G43)</f>
        <v>1.27</v>
      </c>
      <c r="H44" s="13">
        <f t="shared" ref="H44" si="33">SUM(H37:H43)</f>
        <v>2107406.25</v>
      </c>
      <c r="I44" s="14">
        <f t="shared" ref="I44" si="34">SUM(I37:I43)</f>
        <v>1.3000000000000003</v>
      </c>
      <c r="J44" s="13">
        <f t="shared" ref="J44" si="35">SUM(J37:J43)</f>
        <v>1951625</v>
      </c>
      <c r="K44" s="14">
        <f t="shared" ref="K44" si="36">SUM(K37:K43)</f>
        <v>1.38</v>
      </c>
      <c r="L44" s="13">
        <f t="shared" ref="L44" si="37">SUM(L37:L43)</f>
        <v>1973400</v>
      </c>
    </row>
    <row r="45" spans="2:12" x14ac:dyDescent="0.2">
      <c r="C45" s="9"/>
      <c r="D45" s="10"/>
      <c r="E45" s="9"/>
      <c r="F45" s="10"/>
      <c r="G45" s="9"/>
      <c r="H45" s="10"/>
      <c r="I45" s="9"/>
      <c r="J45" s="10"/>
      <c r="K45" s="9"/>
      <c r="L45" s="10"/>
    </row>
    <row r="46" spans="2:12" x14ac:dyDescent="0.2">
      <c r="B46" t="s">
        <v>9</v>
      </c>
      <c r="C46" s="9">
        <v>1143</v>
      </c>
      <c r="D46" s="10"/>
      <c r="E46" s="9">
        <v>1143</v>
      </c>
      <c r="F46" s="10"/>
      <c r="G46" s="9">
        <v>1252</v>
      </c>
      <c r="H46" s="10"/>
      <c r="I46" s="9">
        <v>1337</v>
      </c>
      <c r="J46" s="10"/>
      <c r="K46" s="9">
        <v>1352</v>
      </c>
      <c r="L46" s="10"/>
    </row>
    <row r="47" spans="2:12" ht="16" thickBot="1" x14ac:dyDescent="0.25">
      <c r="B47" t="s">
        <v>10</v>
      </c>
      <c r="C47" s="15">
        <f>C31*C46/1000</f>
        <v>2178843.75</v>
      </c>
      <c r="D47" s="16"/>
      <c r="E47" s="15">
        <f>E31*E46/1000</f>
        <v>2185987.5</v>
      </c>
      <c r="F47" s="16"/>
      <c r="G47" s="15">
        <f>G31*G46/1000</f>
        <v>2077537.5</v>
      </c>
      <c r="H47" s="16"/>
      <c r="I47" s="15">
        <f>I31*I46/1000</f>
        <v>2007171.25</v>
      </c>
      <c r="J47" s="16"/>
      <c r="K47" s="15">
        <f>K31*K46/1000</f>
        <v>1933360</v>
      </c>
      <c r="L47" s="16"/>
    </row>
    <row r="49" spans="2:12" x14ac:dyDescent="0.2">
      <c r="C49" s="2">
        <f>D44/C47</f>
        <v>0.96237970253718286</v>
      </c>
      <c r="D49" s="2"/>
      <c r="E49" s="2">
        <f>F44/E47</f>
        <v>1.0848643919510061</v>
      </c>
      <c r="F49" s="2"/>
      <c r="G49" s="2">
        <f>H44/G47</f>
        <v>1.0143769968051117</v>
      </c>
      <c r="H49" s="2"/>
      <c r="I49" s="2">
        <f>J44/I47</f>
        <v>0.97232610321615554</v>
      </c>
      <c r="J49" s="2"/>
      <c r="K49" s="2">
        <f>L44/K47</f>
        <v>1.0207100591715976</v>
      </c>
    </row>
    <row r="51" spans="2:12" x14ac:dyDescent="0.2">
      <c r="B51" t="s">
        <v>20</v>
      </c>
      <c r="H51" t="s">
        <v>19</v>
      </c>
    </row>
    <row r="52" spans="2:12" ht="16" thickBot="1" x14ac:dyDescent="0.25"/>
    <row r="53" spans="2:12" x14ac:dyDescent="0.2">
      <c r="B53" t="s">
        <v>0</v>
      </c>
      <c r="C53" s="4">
        <v>10</v>
      </c>
      <c r="D53" s="5"/>
      <c r="E53" s="4">
        <v>10</v>
      </c>
      <c r="F53" s="5"/>
      <c r="G53" s="4">
        <v>15</v>
      </c>
      <c r="H53" s="5"/>
      <c r="I53" s="4">
        <v>20</v>
      </c>
      <c r="J53" s="5"/>
      <c r="K53" s="4">
        <v>25</v>
      </c>
      <c r="L53" s="5"/>
    </row>
    <row r="54" spans="2:12" x14ac:dyDescent="0.2">
      <c r="B54" t="s">
        <v>2</v>
      </c>
      <c r="C54" s="9">
        <v>3050</v>
      </c>
      <c r="D54" s="10"/>
      <c r="E54" s="9">
        <v>3060</v>
      </c>
      <c r="F54" s="10"/>
      <c r="G54" s="9">
        <v>2655</v>
      </c>
      <c r="H54" s="10"/>
      <c r="I54" s="9">
        <v>2402</v>
      </c>
      <c r="J54" s="10"/>
      <c r="K54" s="9">
        <v>2288</v>
      </c>
      <c r="L54" s="10"/>
    </row>
    <row r="55" spans="2:12" x14ac:dyDescent="0.2">
      <c r="B55" t="s">
        <v>12</v>
      </c>
      <c r="C55" s="6">
        <f>C54*$H$3</f>
        <v>1906250</v>
      </c>
      <c r="D55" s="7"/>
      <c r="E55" s="6">
        <f>E54*$H$3</f>
        <v>1912500</v>
      </c>
      <c r="F55" s="7"/>
      <c r="G55" s="6">
        <f>G54*$H$3</f>
        <v>1659375</v>
      </c>
      <c r="H55" s="7"/>
      <c r="I55" s="6">
        <f>I54*$H$3</f>
        <v>1501250</v>
      </c>
      <c r="J55" s="7"/>
      <c r="K55" s="6">
        <f>K54*$H$3</f>
        <v>1430000</v>
      </c>
      <c r="L55" s="7"/>
    </row>
    <row r="56" spans="2:12" x14ac:dyDescent="0.2">
      <c r="B56" t="s">
        <v>15</v>
      </c>
      <c r="C56" s="8">
        <v>1.6</v>
      </c>
      <c r="D56" s="7"/>
      <c r="E56" s="8">
        <v>1.6</v>
      </c>
      <c r="F56" s="7"/>
      <c r="G56" s="8">
        <v>1.4</v>
      </c>
      <c r="H56" s="7"/>
      <c r="I56" s="8">
        <v>1.3</v>
      </c>
      <c r="J56" s="7"/>
      <c r="K56" s="8">
        <v>1.2</v>
      </c>
      <c r="L56" s="7"/>
    </row>
    <row r="57" spans="2:12" x14ac:dyDescent="0.2">
      <c r="B57" t="s">
        <v>13</v>
      </c>
      <c r="C57" s="6">
        <f>C55/C56</f>
        <v>1191406.25</v>
      </c>
      <c r="D57" s="7"/>
      <c r="E57" s="6">
        <f>E55/E56</f>
        <v>1195312.5</v>
      </c>
      <c r="F57" s="7"/>
      <c r="G57" s="6">
        <f>G55/G56</f>
        <v>1185267.8571428573</v>
      </c>
      <c r="H57" s="7"/>
      <c r="I57" s="6">
        <f>I55/I56</f>
        <v>1154807.6923076923</v>
      </c>
      <c r="J57" s="7"/>
      <c r="K57" s="6">
        <f>K55/K56</f>
        <v>1191666.6666666667</v>
      </c>
      <c r="L57" s="7"/>
    </row>
    <row r="58" spans="2:12" x14ac:dyDescent="0.2">
      <c r="B58" t="s">
        <v>14</v>
      </c>
      <c r="C58" s="6">
        <f>ROUNDUP(C57/155000,0)</f>
        <v>8</v>
      </c>
      <c r="D58" s="7"/>
      <c r="E58" s="6">
        <f>ROUNDUP(E57/155000,0)</f>
        <v>8</v>
      </c>
      <c r="F58" s="7"/>
      <c r="G58" s="6">
        <f>ROUNDUP(G57/155000,0)</f>
        <v>8</v>
      </c>
      <c r="H58" s="7"/>
      <c r="I58" s="6">
        <f>ROUNDUP(I57/155000,0)</f>
        <v>8</v>
      </c>
      <c r="J58" s="7"/>
      <c r="K58" s="6">
        <f>ROUNDUP(K57/155000,0)</f>
        <v>8</v>
      </c>
      <c r="L58" s="7"/>
    </row>
    <row r="59" spans="2:12" x14ac:dyDescent="0.2">
      <c r="C59" s="9"/>
      <c r="D59" s="10"/>
      <c r="E59" s="9"/>
      <c r="F59" s="10"/>
      <c r="G59" s="9"/>
      <c r="H59" s="10"/>
      <c r="I59" s="9"/>
      <c r="J59" s="10"/>
      <c r="K59" s="9"/>
      <c r="L59" s="10"/>
    </row>
    <row r="60" spans="2:12" x14ac:dyDescent="0.2">
      <c r="B60" t="s">
        <v>3</v>
      </c>
      <c r="C60" s="9"/>
      <c r="D60" s="10"/>
      <c r="E60" s="9"/>
      <c r="F60" s="10"/>
      <c r="G60" s="9"/>
      <c r="H60" s="10"/>
      <c r="I60" s="9"/>
      <c r="J60" s="10"/>
      <c r="K60" s="9"/>
      <c r="L60" s="10"/>
    </row>
    <row r="61" spans="2:12" x14ac:dyDescent="0.2">
      <c r="B61" t="s">
        <v>1</v>
      </c>
      <c r="C61" s="11">
        <v>0.3</v>
      </c>
      <c r="D61" s="12">
        <f>C61*C$7</f>
        <v>571875</v>
      </c>
      <c r="E61" s="11">
        <v>0.3</v>
      </c>
      <c r="F61" s="12">
        <f>E61*E$7</f>
        <v>573750</v>
      </c>
      <c r="G61" s="11">
        <v>0.3</v>
      </c>
      <c r="H61" s="12">
        <f>G61*G$7</f>
        <v>497812.5</v>
      </c>
      <c r="I61" s="11">
        <v>0.3</v>
      </c>
      <c r="J61" s="12">
        <f>I61*I$7</f>
        <v>450375</v>
      </c>
      <c r="K61" s="11">
        <v>0.3</v>
      </c>
      <c r="L61" s="12">
        <f>K61*K$7</f>
        <v>429000</v>
      </c>
    </row>
    <row r="62" spans="2:12" x14ac:dyDescent="0.2">
      <c r="B62" t="s">
        <v>4</v>
      </c>
      <c r="C62" s="11">
        <f>D62/C55</f>
        <v>0.13429508196721313</v>
      </c>
      <c r="D62" s="12">
        <f>C58*32000</f>
        <v>256000</v>
      </c>
      <c r="E62" s="11">
        <f>F62/E55</f>
        <v>0.13385620915032681</v>
      </c>
      <c r="F62" s="12">
        <f>E58*32000</f>
        <v>256000</v>
      </c>
      <c r="G62" s="11">
        <f>H62/G55</f>
        <v>0.15427495291902071</v>
      </c>
      <c r="H62" s="12">
        <f>G58*32000</f>
        <v>256000</v>
      </c>
      <c r="I62" s="11">
        <f>J62/I55</f>
        <v>0.17052456286427978</v>
      </c>
      <c r="J62" s="12">
        <f>I58*32000</f>
        <v>256000</v>
      </c>
      <c r="K62" s="11">
        <f>L62/K55</f>
        <v>0.17902097902097902</v>
      </c>
      <c r="L62" s="12">
        <f>K58*32000</f>
        <v>256000</v>
      </c>
    </row>
    <row r="63" spans="2:12" x14ac:dyDescent="0.2">
      <c r="B63" t="s">
        <v>5</v>
      </c>
      <c r="C63" s="11">
        <v>0.19</v>
      </c>
      <c r="D63" s="12">
        <f t="shared" ref="D63" si="38">C63*C$7</f>
        <v>362187.5</v>
      </c>
      <c r="E63" s="11">
        <v>0.34</v>
      </c>
      <c r="F63" s="12">
        <f t="shared" ref="F63" si="39">E63*E$7</f>
        <v>650250</v>
      </c>
      <c r="G63" s="11">
        <v>0.37</v>
      </c>
      <c r="H63" s="12">
        <f>G63*G$7</f>
        <v>613968.75</v>
      </c>
      <c r="I63" s="11">
        <v>0.39</v>
      </c>
      <c r="J63" s="12">
        <f>I63*I$7</f>
        <v>585487.5</v>
      </c>
      <c r="K63" s="11">
        <v>0.47</v>
      </c>
      <c r="L63" s="12">
        <f>K63*K$7</f>
        <v>672100</v>
      </c>
    </row>
    <row r="64" spans="2:12" x14ac:dyDescent="0.2">
      <c r="B64" t="s">
        <v>6</v>
      </c>
      <c r="C64" s="11">
        <v>0.03</v>
      </c>
      <c r="D64" s="12">
        <f t="shared" ref="D64" si="40">C64*C$7</f>
        <v>57187.5</v>
      </c>
      <c r="E64" s="11">
        <v>0.02</v>
      </c>
      <c r="F64" s="12">
        <f t="shared" ref="F64" si="41">E64*E$7</f>
        <v>38250</v>
      </c>
      <c r="G64" s="11">
        <v>0.02</v>
      </c>
      <c r="H64" s="12">
        <f>G64*G$7</f>
        <v>33187.5</v>
      </c>
      <c r="I64" s="11">
        <v>0.03</v>
      </c>
      <c r="J64" s="12">
        <f>I64*I$7</f>
        <v>45037.5</v>
      </c>
      <c r="K64" s="11">
        <v>0.03</v>
      </c>
      <c r="L64" s="12">
        <f>K64*K$7</f>
        <v>42900</v>
      </c>
    </row>
    <row r="65" spans="2:12" x14ac:dyDescent="0.2">
      <c r="B65" t="s">
        <v>7</v>
      </c>
      <c r="C65" s="11">
        <v>0.05</v>
      </c>
      <c r="D65" s="12">
        <f t="shared" ref="D65" si="42">C65*C$7</f>
        <v>95312.5</v>
      </c>
      <c r="E65" s="11">
        <v>0.05</v>
      </c>
      <c r="F65" s="12">
        <f t="shared" ref="F65" si="43">E65*E$7</f>
        <v>95625</v>
      </c>
      <c r="G65" s="11">
        <v>0.05</v>
      </c>
      <c r="H65" s="12">
        <f>G65*G$7</f>
        <v>82968.75</v>
      </c>
      <c r="I65" s="11">
        <v>0.05</v>
      </c>
      <c r="J65" s="12">
        <f>I65*I$7</f>
        <v>75062.5</v>
      </c>
      <c r="K65" s="11">
        <v>0.05</v>
      </c>
      <c r="L65" s="12">
        <f>K65*K$7</f>
        <v>71500</v>
      </c>
    </row>
    <row r="66" spans="2:12" x14ac:dyDescent="0.2">
      <c r="B66" t="s">
        <v>8</v>
      </c>
      <c r="C66" s="11">
        <v>0.4</v>
      </c>
      <c r="D66" s="12">
        <f t="shared" ref="D66" si="44">C66*C$7</f>
        <v>762500</v>
      </c>
      <c r="E66" s="11">
        <v>0.4</v>
      </c>
      <c r="F66" s="12">
        <f t="shared" ref="F66" si="45">E66*E$7</f>
        <v>765000</v>
      </c>
      <c r="G66" s="11">
        <v>0.4</v>
      </c>
      <c r="H66" s="12">
        <f>G66*G$7</f>
        <v>663750</v>
      </c>
      <c r="I66" s="11">
        <v>0.4</v>
      </c>
      <c r="J66" s="12">
        <f>I66*I$7</f>
        <v>600500</v>
      </c>
      <c r="K66" s="11">
        <v>0.4</v>
      </c>
      <c r="L66" s="12">
        <f>K66*K$7</f>
        <v>572000</v>
      </c>
    </row>
    <row r="67" spans="2:12" x14ac:dyDescent="0.2">
      <c r="C67" s="9"/>
      <c r="D67" s="13"/>
      <c r="E67" s="9"/>
      <c r="F67" s="13"/>
      <c r="G67" s="9"/>
      <c r="H67" s="13"/>
      <c r="I67" s="9"/>
      <c r="J67" s="13"/>
      <c r="K67" s="9"/>
      <c r="L67" s="13"/>
    </row>
    <row r="68" spans="2:12" x14ac:dyDescent="0.2">
      <c r="B68" t="s">
        <v>11</v>
      </c>
      <c r="C68" s="14">
        <f>SUM(C61:C67)</f>
        <v>1.104295081967213</v>
      </c>
      <c r="D68" s="13">
        <f>SUM(D61:D67)</f>
        <v>2105062.5</v>
      </c>
      <c r="E68" s="14">
        <f t="shared" ref="E68" si="46">SUM(E61:E67)</f>
        <v>1.2438562091503269</v>
      </c>
      <c r="F68" s="13">
        <f t="shared" ref="F68" si="47">SUM(F61:F67)</f>
        <v>2378875</v>
      </c>
      <c r="G68" s="14">
        <f t="shared" ref="G68" si="48">SUM(G61:G67)</f>
        <v>1.2942749529190207</v>
      </c>
      <c r="H68" s="13">
        <f t="shared" ref="H68" si="49">SUM(H61:H67)</f>
        <v>2147687.5</v>
      </c>
      <c r="I68" s="14">
        <f t="shared" ref="I68" si="50">SUM(I61:I67)</f>
        <v>1.3405245628642799</v>
      </c>
      <c r="J68" s="13">
        <f t="shared" ref="J68" si="51">SUM(J61:J67)</f>
        <v>2012462.5</v>
      </c>
      <c r="K68" s="14">
        <f t="shared" ref="K68" si="52">SUM(K61:K67)</f>
        <v>1.4290209790209789</v>
      </c>
      <c r="L68" s="13">
        <f t="shared" ref="L68" si="53">SUM(L61:L67)</f>
        <v>2043500</v>
      </c>
    </row>
    <row r="69" spans="2:12" x14ac:dyDescent="0.2">
      <c r="C69" s="9"/>
      <c r="D69" s="10"/>
      <c r="E69" s="9"/>
      <c r="F69" s="10"/>
      <c r="G69" s="9"/>
      <c r="H69" s="10"/>
      <c r="I69" s="9"/>
      <c r="J69" s="10"/>
      <c r="K69" s="9"/>
      <c r="L69" s="10"/>
    </row>
    <row r="70" spans="2:12" x14ac:dyDescent="0.2">
      <c r="B70" t="s">
        <v>9</v>
      </c>
      <c r="C70" s="9">
        <v>1014</v>
      </c>
      <c r="D70" s="10"/>
      <c r="E70" s="9">
        <v>1143</v>
      </c>
      <c r="F70" s="10"/>
      <c r="G70" s="9">
        <v>1252</v>
      </c>
      <c r="H70" s="10"/>
      <c r="I70" s="9">
        <v>1337</v>
      </c>
      <c r="J70" s="10"/>
      <c r="K70" s="9">
        <v>1352</v>
      </c>
      <c r="L70" s="10"/>
    </row>
    <row r="71" spans="2:12" ht="16" thickBot="1" x14ac:dyDescent="0.25">
      <c r="B71" t="s">
        <v>10</v>
      </c>
      <c r="C71" s="15">
        <f>C55*C70/1000</f>
        <v>1932937.5</v>
      </c>
      <c r="D71" s="16"/>
      <c r="E71" s="15">
        <f>E55*E70/1000</f>
        <v>2185987.5</v>
      </c>
      <c r="F71" s="16"/>
      <c r="G71" s="15">
        <f>G55*G70/1000</f>
        <v>2077537.5</v>
      </c>
      <c r="H71" s="16"/>
      <c r="I71" s="15">
        <f>I55*I70/1000</f>
        <v>2007171.25</v>
      </c>
      <c r="J71" s="16"/>
      <c r="K71" s="15">
        <f>K55*K70/1000</f>
        <v>1933360</v>
      </c>
      <c r="L71" s="16"/>
    </row>
    <row r="73" spans="2:12" x14ac:dyDescent="0.2">
      <c r="C73" s="2">
        <f>D68/C71</f>
        <v>1.0890484043069162</v>
      </c>
      <c r="D73" s="2"/>
      <c r="E73" s="2">
        <f>F68/E71</f>
        <v>1.0882381532373813</v>
      </c>
      <c r="F73" s="2"/>
      <c r="G73" s="2">
        <f>H68/G71</f>
        <v>1.0337659368362786</v>
      </c>
      <c r="H73" s="2"/>
      <c r="I73" s="2">
        <f>J68/I71</f>
        <v>1.0026361726733581</v>
      </c>
      <c r="J73" s="2"/>
      <c r="K73" s="2">
        <f>L68/K71</f>
        <v>1.0569681797492447</v>
      </c>
    </row>
    <row r="75" spans="2:12" x14ac:dyDescent="0.2">
      <c r="B75" t="s">
        <v>21</v>
      </c>
      <c r="H75" t="s">
        <v>22</v>
      </c>
    </row>
    <row r="76" spans="2:12" ht="16" thickBot="1" x14ac:dyDescent="0.25"/>
    <row r="77" spans="2:12" x14ac:dyDescent="0.2">
      <c r="B77" t="s">
        <v>0</v>
      </c>
      <c r="C77" s="4">
        <v>10</v>
      </c>
      <c r="D77" s="5"/>
      <c r="E77" s="4">
        <v>10</v>
      </c>
      <c r="F77" s="5"/>
      <c r="G77" s="4">
        <v>15</v>
      </c>
      <c r="H77" s="5"/>
      <c r="I77" s="4">
        <v>20</v>
      </c>
      <c r="J77" s="5"/>
      <c r="K77" s="4">
        <v>25</v>
      </c>
      <c r="L77" s="5"/>
    </row>
    <row r="78" spans="2:12" x14ac:dyDescent="0.2">
      <c r="B78" t="s">
        <v>2</v>
      </c>
      <c r="C78" s="9">
        <v>3050</v>
      </c>
      <c r="D78" s="10"/>
      <c r="E78" s="9">
        <v>3060</v>
      </c>
      <c r="F78" s="10"/>
      <c r="G78" s="9">
        <v>2655</v>
      </c>
      <c r="H78" s="10"/>
      <c r="I78" s="9">
        <v>2402</v>
      </c>
      <c r="J78" s="10"/>
      <c r="K78" s="9">
        <v>2288</v>
      </c>
      <c r="L78" s="10"/>
    </row>
    <row r="79" spans="2:12" x14ac:dyDescent="0.2">
      <c r="B79" t="s">
        <v>12</v>
      </c>
      <c r="C79" s="6">
        <f>C78*$H$3</f>
        <v>1906250</v>
      </c>
      <c r="D79" s="7"/>
      <c r="E79" s="6">
        <f>E78*$H$3</f>
        <v>1912500</v>
      </c>
      <c r="F79" s="7"/>
      <c r="G79" s="6">
        <f>G78*$H$3</f>
        <v>1659375</v>
      </c>
      <c r="H79" s="7"/>
      <c r="I79" s="6">
        <f>I78*$H$3</f>
        <v>1501250</v>
      </c>
      <c r="J79" s="7"/>
      <c r="K79" s="6">
        <f>K78*$H$3</f>
        <v>1430000</v>
      </c>
      <c r="L79" s="7"/>
    </row>
    <row r="80" spans="2:12" x14ac:dyDescent="0.2">
      <c r="B80" t="s">
        <v>15</v>
      </c>
      <c r="C80" s="8">
        <v>1.6</v>
      </c>
      <c r="D80" s="7"/>
      <c r="E80" s="8">
        <v>1.6</v>
      </c>
      <c r="F80" s="7"/>
      <c r="G80" s="8">
        <v>1.6</v>
      </c>
      <c r="H80" s="7"/>
      <c r="I80" s="8">
        <v>1.6</v>
      </c>
      <c r="J80" s="7"/>
      <c r="K80" s="8">
        <v>1.6</v>
      </c>
      <c r="L80" s="7"/>
    </row>
    <row r="81" spans="2:12" x14ac:dyDescent="0.2">
      <c r="B81" t="s">
        <v>13</v>
      </c>
      <c r="C81" s="6">
        <f>C79/C80</f>
        <v>1191406.25</v>
      </c>
      <c r="D81" s="7"/>
      <c r="E81" s="6">
        <f>E79/E80</f>
        <v>1195312.5</v>
      </c>
      <c r="F81" s="7"/>
      <c r="G81" s="6">
        <f>G79/G80</f>
        <v>1037109.375</v>
      </c>
      <c r="H81" s="7"/>
      <c r="I81" s="6">
        <f>I79/I80</f>
        <v>938281.25</v>
      </c>
      <c r="J81" s="7"/>
      <c r="K81" s="6">
        <f>K79/K80</f>
        <v>893750</v>
      </c>
      <c r="L81" s="7"/>
    </row>
    <row r="82" spans="2:12" x14ac:dyDescent="0.2">
      <c r="B82" t="s">
        <v>14</v>
      </c>
      <c r="C82" s="6">
        <f>C81/155000</f>
        <v>7.686491935483871</v>
      </c>
      <c r="D82" s="7"/>
      <c r="E82" s="6">
        <f>E81/155000</f>
        <v>7.711693548387097</v>
      </c>
      <c r="F82" s="7"/>
      <c r="G82" s="6">
        <f>G81/155000</f>
        <v>6.691028225806452</v>
      </c>
      <c r="H82" s="7"/>
      <c r="I82" s="6">
        <f>I81/155000</f>
        <v>6.053427419354839</v>
      </c>
      <c r="J82" s="7"/>
      <c r="K82" s="6">
        <f>K81/155000</f>
        <v>5.7661290322580649</v>
      </c>
      <c r="L82" s="7"/>
    </row>
    <row r="83" spans="2:12" x14ac:dyDescent="0.2">
      <c r="C83" s="9"/>
      <c r="D83" s="10"/>
      <c r="E83" s="9"/>
      <c r="F83" s="10"/>
      <c r="G83" s="9"/>
      <c r="H83" s="10"/>
      <c r="I83" s="9"/>
      <c r="J83" s="10"/>
      <c r="K83" s="9"/>
      <c r="L83" s="10"/>
    </row>
    <row r="84" spans="2:12" x14ac:dyDescent="0.2">
      <c r="B84" t="s">
        <v>3</v>
      </c>
      <c r="C84" s="9"/>
      <c r="D84" s="10"/>
      <c r="E84" s="9"/>
      <c r="F84" s="10"/>
      <c r="G84" s="9"/>
      <c r="H84" s="10"/>
      <c r="I84" s="9"/>
      <c r="J84" s="10"/>
      <c r="K84" s="9"/>
      <c r="L84" s="10"/>
    </row>
    <row r="85" spans="2:12" x14ac:dyDescent="0.2">
      <c r="B85" t="s">
        <v>1</v>
      </c>
      <c r="C85" s="11">
        <v>0.17</v>
      </c>
      <c r="D85" s="12">
        <f>C85*C$7</f>
        <v>324062.5</v>
      </c>
      <c r="E85" s="11">
        <v>0.17</v>
      </c>
      <c r="F85" s="12">
        <f>E85*E$7</f>
        <v>325125</v>
      </c>
      <c r="G85" s="11">
        <v>0.17</v>
      </c>
      <c r="H85" s="12">
        <f>G85*G$7</f>
        <v>282093.75</v>
      </c>
      <c r="I85" s="11">
        <v>0.17</v>
      </c>
      <c r="J85" s="12">
        <f>I85*I$7</f>
        <v>255212.50000000003</v>
      </c>
      <c r="K85" s="11">
        <v>0.17</v>
      </c>
      <c r="L85" s="12">
        <f>K85*K$7</f>
        <v>243100.00000000003</v>
      </c>
    </row>
    <row r="86" spans="2:12" x14ac:dyDescent="0.2">
      <c r="B86" t="s">
        <v>4</v>
      </c>
      <c r="C86" s="11">
        <v>0.13</v>
      </c>
      <c r="D86" s="12">
        <f t="shared" ref="D86" si="54">C86*C$7</f>
        <v>247812.5</v>
      </c>
      <c r="E86" s="11">
        <v>0.13</v>
      </c>
      <c r="F86" s="12">
        <f t="shared" ref="F86" si="55">E86*E$7</f>
        <v>248625</v>
      </c>
      <c r="G86" s="11">
        <v>0.13</v>
      </c>
      <c r="H86" s="12">
        <f t="shared" ref="H86:H90" si="56">G86*G$7</f>
        <v>215718.75</v>
      </c>
      <c r="I86" s="11">
        <v>0.13</v>
      </c>
      <c r="J86" s="12">
        <f t="shared" ref="J86:J90" si="57">I86*I$7</f>
        <v>195162.5</v>
      </c>
      <c r="K86" s="11">
        <v>0.13</v>
      </c>
      <c r="L86" s="12">
        <f t="shared" ref="L86:L90" si="58">K86*K$7</f>
        <v>185900</v>
      </c>
    </row>
    <row r="87" spans="2:12" x14ac:dyDescent="0.2">
      <c r="B87" t="s">
        <v>5</v>
      </c>
      <c r="C87" s="11">
        <v>0.19</v>
      </c>
      <c r="D87" s="12">
        <f t="shared" ref="D87" si="59">C87*C$7</f>
        <v>362187.5</v>
      </c>
      <c r="E87" s="11">
        <v>0.34</v>
      </c>
      <c r="F87" s="12">
        <f t="shared" ref="F87" si="60">E87*E$7</f>
        <v>650250</v>
      </c>
      <c r="G87" s="11">
        <v>0.37</v>
      </c>
      <c r="H87" s="12">
        <f t="shared" si="56"/>
        <v>613968.75</v>
      </c>
      <c r="I87" s="11">
        <v>0.39</v>
      </c>
      <c r="J87" s="12">
        <f t="shared" si="57"/>
        <v>585487.5</v>
      </c>
      <c r="K87" s="11">
        <v>0.47</v>
      </c>
      <c r="L87" s="12">
        <f t="shared" si="58"/>
        <v>672100</v>
      </c>
    </row>
    <row r="88" spans="2:12" x14ac:dyDescent="0.2">
      <c r="B88" t="s">
        <v>6</v>
      </c>
      <c r="C88" s="11">
        <v>0.03</v>
      </c>
      <c r="D88" s="12">
        <f t="shared" ref="D88" si="61">C88*C$7</f>
        <v>57187.5</v>
      </c>
      <c r="E88" s="11">
        <v>0.02</v>
      </c>
      <c r="F88" s="12">
        <f t="shared" ref="F88" si="62">E88*E$7</f>
        <v>38250</v>
      </c>
      <c r="G88" s="11">
        <v>0.02</v>
      </c>
      <c r="H88" s="12">
        <f t="shared" si="56"/>
        <v>33187.5</v>
      </c>
      <c r="I88" s="11">
        <v>0.03</v>
      </c>
      <c r="J88" s="12">
        <f t="shared" si="57"/>
        <v>45037.5</v>
      </c>
      <c r="K88" s="11">
        <v>0.03</v>
      </c>
      <c r="L88" s="12">
        <f t="shared" si="58"/>
        <v>42900</v>
      </c>
    </row>
    <row r="89" spans="2:12" x14ac:dyDescent="0.2">
      <c r="B89" t="s">
        <v>7</v>
      </c>
      <c r="C89" s="11">
        <v>0.05</v>
      </c>
      <c r="D89" s="12">
        <f t="shared" ref="D89" si="63">C89*C$7</f>
        <v>95312.5</v>
      </c>
      <c r="E89" s="11">
        <v>0.05</v>
      </c>
      <c r="F89" s="12">
        <f t="shared" ref="F89" si="64">E89*E$7</f>
        <v>95625</v>
      </c>
      <c r="G89" s="11">
        <v>0.05</v>
      </c>
      <c r="H89" s="12">
        <f t="shared" si="56"/>
        <v>82968.75</v>
      </c>
      <c r="I89" s="11">
        <v>0.05</v>
      </c>
      <c r="J89" s="12">
        <f t="shared" si="57"/>
        <v>75062.5</v>
      </c>
      <c r="K89" s="11">
        <v>0.05</v>
      </c>
      <c r="L89" s="12">
        <f t="shared" si="58"/>
        <v>71500</v>
      </c>
    </row>
    <row r="90" spans="2:12" x14ac:dyDescent="0.2">
      <c r="B90" t="s">
        <v>8</v>
      </c>
      <c r="C90" s="11">
        <v>0.4</v>
      </c>
      <c r="D90" s="12">
        <f t="shared" ref="D90" si="65">C90*C$7</f>
        <v>762500</v>
      </c>
      <c r="E90" s="11">
        <v>0.4</v>
      </c>
      <c r="F90" s="12">
        <f t="shared" ref="F90" si="66">E90*E$7</f>
        <v>765000</v>
      </c>
      <c r="G90" s="11">
        <v>0.4</v>
      </c>
      <c r="H90" s="12">
        <f t="shared" si="56"/>
        <v>663750</v>
      </c>
      <c r="I90" s="11">
        <v>0.4</v>
      </c>
      <c r="J90" s="12">
        <f t="shared" si="57"/>
        <v>600500</v>
      </c>
      <c r="K90" s="11">
        <v>0.4</v>
      </c>
      <c r="L90" s="12">
        <f t="shared" si="58"/>
        <v>572000</v>
      </c>
    </row>
    <row r="91" spans="2:12" x14ac:dyDescent="0.2">
      <c r="C91" s="9"/>
      <c r="D91" s="13"/>
      <c r="E91" s="9"/>
      <c r="F91" s="13"/>
      <c r="G91" s="9"/>
      <c r="H91" s="13"/>
      <c r="I91" s="9"/>
      <c r="J91" s="13"/>
      <c r="K91" s="9"/>
      <c r="L91" s="13"/>
    </row>
    <row r="92" spans="2:12" x14ac:dyDescent="0.2">
      <c r="B92" t="s">
        <v>11</v>
      </c>
      <c r="C92" s="14">
        <f>SUM(C85:C91)</f>
        <v>0.97000000000000008</v>
      </c>
      <c r="D92" s="13">
        <f>SUM(D85:D91)</f>
        <v>1849062.5</v>
      </c>
      <c r="E92" s="14">
        <f t="shared" ref="E92" si="67">SUM(E85:E91)</f>
        <v>1.1100000000000003</v>
      </c>
      <c r="F92" s="13">
        <f t="shared" ref="F92" si="68">SUM(F85:F91)</f>
        <v>2122875</v>
      </c>
      <c r="G92" s="14">
        <f t="shared" ref="G92" si="69">SUM(G85:G91)</f>
        <v>1.1400000000000001</v>
      </c>
      <c r="H92" s="13">
        <f t="shared" ref="H92" si="70">SUM(H85:H91)</f>
        <v>1891687.5</v>
      </c>
      <c r="I92" s="14">
        <f t="shared" ref="I92" si="71">SUM(I85:I91)</f>
        <v>1.1700000000000002</v>
      </c>
      <c r="J92" s="13">
        <f t="shared" ref="J92" si="72">SUM(J85:J91)</f>
        <v>1756462.5</v>
      </c>
      <c r="K92" s="14">
        <f t="shared" ref="K92" si="73">SUM(K85:K91)</f>
        <v>1.25</v>
      </c>
      <c r="L92" s="13">
        <f t="shared" ref="L92" si="74">SUM(L85:L91)</f>
        <v>1787500</v>
      </c>
    </row>
    <row r="93" spans="2:12" x14ac:dyDescent="0.2">
      <c r="C93" s="9"/>
      <c r="D93" s="10"/>
      <c r="E93" s="9"/>
      <c r="F93" s="10"/>
      <c r="G93" s="9"/>
      <c r="H93" s="10"/>
      <c r="I93" s="9"/>
      <c r="J93" s="10"/>
      <c r="K93" s="9"/>
      <c r="L93" s="10"/>
    </row>
    <row r="94" spans="2:12" x14ac:dyDescent="0.2">
      <c r="B94" t="s">
        <v>9</v>
      </c>
      <c r="C94" s="9">
        <v>1014</v>
      </c>
      <c r="D94" s="10"/>
      <c r="E94" s="9">
        <v>1143</v>
      </c>
      <c r="F94" s="10"/>
      <c r="G94" s="9">
        <v>1252</v>
      </c>
      <c r="H94" s="10"/>
      <c r="I94" s="9">
        <v>1337</v>
      </c>
      <c r="J94" s="10"/>
      <c r="K94" s="9">
        <v>1352</v>
      </c>
      <c r="L94" s="10"/>
    </row>
    <row r="95" spans="2:12" ht="16" thickBot="1" x14ac:dyDescent="0.25">
      <c r="B95" t="s">
        <v>10</v>
      </c>
      <c r="C95" s="15">
        <f>C79*C94/1000</f>
        <v>1932937.5</v>
      </c>
      <c r="D95" s="16"/>
      <c r="E95" s="15">
        <f>E79*E94/1000</f>
        <v>2185987.5</v>
      </c>
      <c r="F95" s="16"/>
      <c r="G95" s="15">
        <f>G79*G94/1000</f>
        <v>2077537.5</v>
      </c>
      <c r="H95" s="16"/>
      <c r="I95" s="15">
        <f>I79*I94/1000</f>
        <v>2007171.25</v>
      </c>
      <c r="J95" s="16"/>
      <c r="K95" s="15">
        <f>K79*K94/1000</f>
        <v>1933360</v>
      </c>
      <c r="L95" s="16"/>
    </row>
    <row r="97" spans="2:12" x14ac:dyDescent="0.2">
      <c r="C97" s="2">
        <f>D92/C95</f>
        <v>0.95660749506903353</v>
      </c>
      <c r="D97" s="2"/>
      <c r="E97" s="2">
        <f>F92/E95</f>
        <v>0.97112860892388453</v>
      </c>
      <c r="F97" s="2"/>
      <c r="G97" s="2">
        <f>H92/G95</f>
        <v>0.91054313099041528</v>
      </c>
      <c r="H97" s="2"/>
      <c r="I97" s="2">
        <f>J92/I95</f>
        <v>0.87509349289453997</v>
      </c>
      <c r="J97" s="2"/>
      <c r="K97" s="2">
        <f>L92/K95</f>
        <v>0.92455621301775148</v>
      </c>
    </row>
    <row r="99" spans="2:12" x14ac:dyDescent="0.2">
      <c r="B99" t="s">
        <v>23</v>
      </c>
      <c r="H99" t="s">
        <v>24</v>
      </c>
    </row>
    <row r="100" spans="2:12" ht="16" thickBot="1" x14ac:dyDescent="0.25"/>
    <row r="101" spans="2:12" x14ac:dyDescent="0.2">
      <c r="B101" t="s">
        <v>0</v>
      </c>
      <c r="C101" s="4">
        <v>10</v>
      </c>
      <c r="D101" s="5"/>
      <c r="E101" s="4">
        <v>10</v>
      </c>
      <c r="F101" s="5"/>
      <c r="G101" s="4">
        <v>15</v>
      </c>
      <c r="H101" s="5"/>
      <c r="I101" s="4">
        <v>20</v>
      </c>
      <c r="J101" s="5"/>
      <c r="K101" s="4">
        <v>25</v>
      </c>
      <c r="L101" s="5"/>
    </row>
    <row r="102" spans="2:12" x14ac:dyDescent="0.2">
      <c r="B102" t="s">
        <v>2</v>
      </c>
      <c r="C102" s="9">
        <v>3050</v>
      </c>
      <c r="D102" s="10"/>
      <c r="E102" s="9">
        <v>3060</v>
      </c>
      <c r="F102" s="10"/>
      <c r="G102" s="9">
        <v>2655</v>
      </c>
      <c r="H102" s="10"/>
      <c r="I102" s="9">
        <v>2402</v>
      </c>
      <c r="J102" s="10"/>
      <c r="K102" s="9">
        <v>2288</v>
      </c>
      <c r="L102" s="10"/>
    </row>
    <row r="103" spans="2:12" x14ac:dyDescent="0.2">
      <c r="B103" t="s">
        <v>12</v>
      </c>
      <c r="C103" s="6">
        <f>C102*$H$3</f>
        <v>1906250</v>
      </c>
      <c r="D103" s="7"/>
      <c r="E103" s="6">
        <f>E102*$H$3</f>
        <v>1912500</v>
      </c>
      <c r="F103" s="7"/>
      <c r="G103" s="6">
        <f>G102*$H$3</f>
        <v>1659375</v>
      </c>
      <c r="H103" s="7"/>
      <c r="I103" s="6">
        <f>I102*$H$3</f>
        <v>1501250</v>
      </c>
      <c r="J103" s="7"/>
      <c r="K103" s="6">
        <f>K102*$H$3</f>
        <v>1430000</v>
      </c>
      <c r="L103" s="7"/>
    </row>
    <row r="104" spans="2:12" x14ac:dyDescent="0.2">
      <c r="B104" t="s">
        <v>15</v>
      </c>
      <c r="C104" s="8">
        <v>1.6</v>
      </c>
      <c r="D104" s="7"/>
      <c r="E104" s="8">
        <v>1.6</v>
      </c>
      <c r="F104" s="7"/>
      <c r="G104" s="8">
        <v>1.4</v>
      </c>
      <c r="H104" s="7"/>
      <c r="I104" s="8">
        <v>1.3</v>
      </c>
      <c r="J104" s="7"/>
      <c r="K104" s="8">
        <v>1.2</v>
      </c>
      <c r="L104" s="7"/>
    </row>
    <row r="105" spans="2:12" x14ac:dyDescent="0.2">
      <c r="B105" t="s">
        <v>13</v>
      </c>
      <c r="C105" s="6">
        <f>C103/C104</f>
        <v>1191406.25</v>
      </c>
      <c r="D105" s="7"/>
      <c r="E105" s="6">
        <f>E103/E104</f>
        <v>1195312.5</v>
      </c>
      <c r="F105" s="7"/>
      <c r="G105" s="6">
        <f>G103/G104</f>
        <v>1185267.8571428573</v>
      </c>
      <c r="H105" s="7"/>
      <c r="I105" s="6">
        <f>I103/I104</f>
        <v>1154807.6923076923</v>
      </c>
      <c r="J105" s="7"/>
      <c r="K105" s="6">
        <f>K103/K104</f>
        <v>1191666.6666666667</v>
      </c>
      <c r="L105" s="7"/>
    </row>
    <row r="106" spans="2:12" x14ac:dyDescent="0.2">
      <c r="B106" t="s">
        <v>14</v>
      </c>
      <c r="C106" s="6">
        <f>ROUNDUP(C105/155000,0)</f>
        <v>8</v>
      </c>
      <c r="D106" s="7"/>
      <c r="E106" s="6">
        <f>ROUNDUP(E105/155000,0)</f>
        <v>8</v>
      </c>
      <c r="F106" s="7"/>
      <c r="G106" s="6">
        <f>ROUNDUP(G105/155000,0)</f>
        <v>8</v>
      </c>
      <c r="H106" s="7"/>
      <c r="I106" s="6">
        <f>ROUNDUP(I105/155000,0)</f>
        <v>8</v>
      </c>
      <c r="J106" s="7"/>
      <c r="K106" s="6">
        <f>ROUNDUP(K105/155000,0)</f>
        <v>8</v>
      </c>
      <c r="L106" s="7"/>
    </row>
    <row r="107" spans="2:12" x14ac:dyDescent="0.2">
      <c r="C107" s="9"/>
      <c r="D107" s="10"/>
      <c r="E107" s="9"/>
      <c r="F107" s="10"/>
      <c r="G107" s="9"/>
      <c r="H107" s="10"/>
      <c r="I107" s="9"/>
      <c r="J107" s="10"/>
      <c r="K107" s="9"/>
      <c r="L107" s="10"/>
    </row>
    <row r="108" spans="2:12" x14ac:dyDescent="0.2">
      <c r="B108" t="s">
        <v>3</v>
      </c>
      <c r="C108" s="9"/>
      <c r="D108" s="10"/>
      <c r="E108" s="9"/>
      <c r="F108" s="10"/>
      <c r="G108" s="9"/>
      <c r="H108" s="10"/>
      <c r="I108" s="9"/>
      <c r="J108" s="10"/>
      <c r="K108" s="9"/>
      <c r="L108" s="10"/>
    </row>
    <row r="109" spans="2:12" x14ac:dyDescent="0.2">
      <c r="B109" t="s">
        <v>1</v>
      </c>
      <c r="C109" s="11">
        <v>0.17</v>
      </c>
      <c r="D109" s="12">
        <f>C109*C$7</f>
        <v>324062.5</v>
      </c>
      <c r="E109" s="11">
        <v>0.17</v>
      </c>
      <c r="F109" s="12">
        <f>E109*E$7</f>
        <v>325125</v>
      </c>
      <c r="G109" s="11">
        <v>0.17</v>
      </c>
      <c r="H109" s="12">
        <f>G109*G$7</f>
        <v>282093.75</v>
      </c>
      <c r="I109" s="11">
        <v>0.17</v>
      </c>
      <c r="J109" s="12">
        <f>I109*I$7</f>
        <v>255212.50000000003</v>
      </c>
      <c r="K109" s="11">
        <v>0.17</v>
      </c>
      <c r="L109" s="12">
        <f>K109*K$7</f>
        <v>243100.00000000003</v>
      </c>
    </row>
    <row r="110" spans="2:12" x14ac:dyDescent="0.2">
      <c r="B110" t="s">
        <v>4</v>
      </c>
      <c r="C110" s="11">
        <f>D110/C103</f>
        <v>0.13429508196721313</v>
      </c>
      <c r="D110" s="12">
        <f>C106*32000</f>
        <v>256000</v>
      </c>
      <c r="E110" s="11">
        <f>F110/E103</f>
        <v>0.13385620915032681</v>
      </c>
      <c r="F110" s="12">
        <f>E106*32000</f>
        <v>256000</v>
      </c>
      <c r="G110" s="11">
        <f>H110/G103</f>
        <v>0.15427495291902071</v>
      </c>
      <c r="H110" s="12">
        <f>G106*32000</f>
        <v>256000</v>
      </c>
      <c r="I110" s="11">
        <f>J110/I103</f>
        <v>0.17052456286427978</v>
      </c>
      <c r="J110" s="12">
        <f>I106*32000</f>
        <v>256000</v>
      </c>
      <c r="K110" s="11">
        <f>L110/K103</f>
        <v>0.17902097902097902</v>
      </c>
      <c r="L110" s="12">
        <f>K106*32000</f>
        <v>256000</v>
      </c>
    </row>
    <row r="111" spans="2:12" x14ac:dyDescent="0.2">
      <c r="B111" t="s">
        <v>5</v>
      </c>
      <c r="C111" s="11">
        <v>0.19</v>
      </c>
      <c r="D111" s="12">
        <f t="shared" ref="D111" si="75">C111*C$7</f>
        <v>362187.5</v>
      </c>
      <c r="E111" s="11">
        <v>0.34</v>
      </c>
      <c r="F111" s="12">
        <f t="shared" ref="F111" si="76">E111*E$7</f>
        <v>650250</v>
      </c>
      <c r="G111" s="11">
        <v>0.37</v>
      </c>
      <c r="H111" s="12">
        <f t="shared" ref="H111:H114" si="77">G111*G$7</f>
        <v>613968.75</v>
      </c>
      <c r="I111" s="11">
        <v>0.39</v>
      </c>
      <c r="J111" s="12">
        <f t="shared" ref="J111:J114" si="78">I111*I$7</f>
        <v>585487.5</v>
      </c>
      <c r="K111" s="11">
        <v>0.47</v>
      </c>
      <c r="L111" s="12">
        <f t="shared" ref="L111:L114" si="79">K111*K$7</f>
        <v>672100</v>
      </c>
    </row>
    <row r="112" spans="2:12" x14ac:dyDescent="0.2">
      <c r="B112" t="s">
        <v>6</v>
      </c>
      <c r="C112" s="11">
        <v>0.03</v>
      </c>
      <c r="D112" s="12">
        <f t="shared" ref="D112" si="80">C112*C$7</f>
        <v>57187.5</v>
      </c>
      <c r="E112" s="11">
        <v>0.02</v>
      </c>
      <c r="F112" s="12">
        <f t="shared" ref="F112" si="81">E112*E$7</f>
        <v>38250</v>
      </c>
      <c r="G112" s="11">
        <v>0.02</v>
      </c>
      <c r="H112" s="12">
        <f t="shared" si="77"/>
        <v>33187.5</v>
      </c>
      <c r="I112" s="11">
        <v>0.03</v>
      </c>
      <c r="J112" s="12">
        <f t="shared" si="78"/>
        <v>45037.5</v>
      </c>
      <c r="K112" s="11">
        <v>0.03</v>
      </c>
      <c r="L112" s="12">
        <f t="shared" si="79"/>
        <v>42900</v>
      </c>
    </row>
    <row r="113" spans="2:12" x14ac:dyDescent="0.2">
      <c r="B113" t="s">
        <v>7</v>
      </c>
      <c r="C113" s="11">
        <v>0.05</v>
      </c>
      <c r="D113" s="12">
        <f t="shared" ref="D113" si="82">C113*C$7</f>
        <v>95312.5</v>
      </c>
      <c r="E113" s="11">
        <v>0.05</v>
      </c>
      <c r="F113" s="12">
        <f t="shared" ref="F113" si="83">E113*E$7</f>
        <v>95625</v>
      </c>
      <c r="G113" s="11">
        <v>0.05</v>
      </c>
      <c r="H113" s="12">
        <f t="shared" si="77"/>
        <v>82968.75</v>
      </c>
      <c r="I113" s="11">
        <v>0.05</v>
      </c>
      <c r="J113" s="12">
        <f t="shared" si="78"/>
        <v>75062.5</v>
      </c>
      <c r="K113" s="11">
        <v>0.05</v>
      </c>
      <c r="L113" s="12">
        <f t="shared" si="79"/>
        <v>71500</v>
      </c>
    </row>
    <row r="114" spans="2:12" x14ac:dyDescent="0.2">
      <c r="B114" t="s">
        <v>8</v>
      </c>
      <c r="C114" s="11">
        <v>0.4</v>
      </c>
      <c r="D114" s="12">
        <f t="shared" ref="D114" si="84">C114*C$7</f>
        <v>762500</v>
      </c>
      <c r="E114" s="11">
        <v>0.4</v>
      </c>
      <c r="F114" s="12">
        <f t="shared" ref="F114" si="85">E114*E$7</f>
        <v>765000</v>
      </c>
      <c r="G114" s="11">
        <v>0.4</v>
      </c>
      <c r="H114" s="12">
        <f t="shared" si="77"/>
        <v>663750</v>
      </c>
      <c r="I114" s="11">
        <v>0.4</v>
      </c>
      <c r="J114" s="12">
        <f t="shared" si="78"/>
        <v>600500</v>
      </c>
      <c r="K114" s="11">
        <v>0.4</v>
      </c>
      <c r="L114" s="12">
        <f t="shared" si="79"/>
        <v>572000</v>
      </c>
    </row>
    <row r="115" spans="2:12" x14ac:dyDescent="0.2">
      <c r="C115" s="9"/>
      <c r="D115" s="13"/>
      <c r="E115" s="9"/>
      <c r="F115" s="13"/>
      <c r="G115" s="9"/>
      <c r="H115" s="13"/>
      <c r="I115" s="9"/>
      <c r="J115" s="13"/>
      <c r="K115" s="9"/>
      <c r="L115" s="13"/>
    </row>
    <row r="116" spans="2:12" x14ac:dyDescent="0.2">
      <c r="B116" t="s">
        <v>11</v>
      </c>
      <c r="C116" s="14">
        <f>SUM(C109:C115)</f>
        <v>0.97429508196721315</v>
      </c>
      <c r="D116" s="13">
        <f>SUM(D109:D115)</f>
        <v>1857250</v>
      </c>
      <c r="E116" s="14">
        <f t="shared" ref="E116" si="86">SUM(E109:E115)</f>
        <v>1.113856209150327</v>
      </c>
      <c r="F116" s="13">
        <f t="shared" ref="F116" si="87">SUM(F109:F115)</f>
        <v>2130250</v>
      </c>
      <c r="G116" s="14">
        <f t="shared" ref="G116" si="88">SUM(G109:G115)</f>
        <v>1.1642749529190208</v>
      </c>
      <c r="H116" s="13">
        <f t="shared" ref="H116" si="89">SUM(H109:H115)</f>
        <v>1931968.75</v>
      </c>
      <c r="I116" s="14">
        <f t="shared" ref="I116" si="90">SUM(I109:I115)</f>
        <v>1.21052456286428</v>
      </c>
      <c r="J116" s="13">
        <f t="shared" ref="J116" si="91">SUM(J109:J115)</f>
        <v>1817300</v>
      </c>
      <c r="K116" s="14">
        <f t="shared" ref="K116" si="92">SUM(K109:K115)</f>
        <v>1.299020979020979</v>
      </c>
      <c r="L116" s="13">
        <f t="shared" ref="L116" si="93">SUM(L109:L115)</f>
        <v>1857600</v>
      </c>
    </row>
    <row r="117" spans="2:12" x14ac:dyDescent="0.2">
      <c r="C117" s="9"/>
      <c r="D117" s="10"/>
      <c r="E117" s="9"/>
      <c r="F117" s="10"/>
      <c r="G117" s="9"/>
      <c r="H117" s="10"/>
      <c r="I117" s="9"/>
      <c r="J117" s="10"/>
      <c r="K117" s="9"/>
      <c r="L117" s="10"/>
    </row>
    <row r="118" spans="2:12" x14ac:dyDescent="0.2">
      <c r="B118" t="s">
        <v>9</v>
      </c>
      <c r="C118" s="9">
        <v>1014</v>
      </c>
      <c r="D118" s="10"/>
      <c r="E118" s="9">
        <v>1143</v>
      </c>
      <c r="F118" s="10"/>
      <c r="G118" s="9">
        <v>1252</v>
      </c>
      <c r="H118" s="10"/>
      <c r="I118" s="9">
        <v>1337</v>
      </c>
      <c r="J118" s="10"/>
      <c r="K118" s="9">
        <v>1352</v>
      </c>
      <c r="L118" s="10"/>
    </row>
    <row r="119" spans="2:12" ht="16" thickBot="1" x14ac:dyDescent="0.25">
      <c r="B119" t="s">
        <v>10</v>
      </c>
      <c r="C119" s="15">
        <f>C103*C118/1000</f>
        <v>1932937.5</v>
      </c>
      <c r="D119" s="16"/>
      <c r="E119" s="15">
        <f>E103*E118/1000</f>
        <v>2185987.5</v>
      </c>
      <c r="F119" s="16"/>
      <c r="G119" s="15">
        <f>G103*G118/1000</f>
        <v>2077537.5</v>
      </c>
      <c r="H119" s="16"/>
      <c r="I119" s="15">
        <f>I103*I118/1000</f>
        <v>2007171.25</v>
      </c>
      <c r="J119" s="16"/>
      <c r="K119" s="15">
        <f>K103*K118/1000</f>
        <v>1933360</v>
      </c>
      <c r="L119" s="16"/>
    </row>
    <row r="121" spans="2:12" x14ac:dyDescent="0.2">
      <c r="C121" s="2">
        <f>D116/C119</f>
        <v>0.9608432761017881</v>
      </c>
      <c r="D121" s="2"/>
      <c r="E121" s="2">
        <f>F116/E119</f>
        <v>0.97450237021025965</v>
      </c>
      <c r="F121" s="2"/>
      <c r="G121" s="2">
        <f>H116/G119</f>
        <v>0.92993207102158204</v>
      </c>
      <c r="H121" s="2"/>
      <c r="I121" s="2">
        <f>J116/I119</f>
        <v>0.90540356235174257</v>
      </c>
      <c r="J121" s="2"/>
      <c r="K121" s="2">
        <f>L116/K119</f>
        <v>0.9608143335953987</v>
      </c>
    </row>
    <row r="124" spans="2:12" x14ac:dyDescent="0.2">
      <c r="B124" t="s">
        <v>23</v>
      </c>
      <c r="H124" t="s">
        <v>25</v>
      </c>
    </row>
    <row r="125" spans="2:12" ht="16" thickBot="1" x14ac:dyDescent="0.25"/>
    <row r="126" spans="2:12" x14ac:dyDescent="0.2">
      <c r="B126" t="s">
        <v>0</v>
      </c>
      <c r="C126" s="4">
        <v>10</v>
      </c>
      <c r="D126" s="5"/>
      <c r="E126" s="4">
        <v>10</v>
      </c>
      <c r="F126" s="5"/>
      <c r="G126" s="4">
        <v>15</v>
      </c>
      <c r="H126" s="5"/>
      <c r="I126" s="4">
        <v>20</v>
      </c>
      <c r="J126" s="5"/>
      <c r="K126" s="4">
        <v>25</v>
      </c>
      <c r="L126" s="5"/>
    </row>
    <row r="127" spans="2:12" x14ac:dyDescent="0.2">
      <c r="B127" t="s">
        <v>2</v>
      </c>
      <c r="C127" s="9">
        <v>3050</v>
      </c>
      <c r="D127" s="10"/>
      <c r="E127" s="9">
        <v>3060</v>
      </c>
      <c r="F127" s="10"/>
      <c r="G127" s="9">
        <v>2655</v>
      </c>
      <c r="H127" s="10"/>
      <c r="I127" s="9">
        <v>2402</v>
      </c>
      <c r="J127" s="10"/>
      <c r="K127" s="9">
        <v>2288</v>
      </c>
      <c r="L127" s="10"/>
    </row>
    <row r="128" spans="2:12" x14ac:dyDescent="0.2">
      <c r="B128" t="s">
        <v>12</v>
      </c>
      <c r="C128" s="6">
        <f>C127*$H$3</f>
        <v>1906250</v>
      </c>
      <c r="D128" s="7"/>
      <c r="E128" s="6">
        <f>E127*$H$3</f>
        <v>1912500</v>
      </c>
      <c r="F128" s="7"/>
      <c r="G128" s="6">
        <f>G127*$H$3</f>
        <v>1659375</v>
      </c>
      <c r="H128" s="7"/>
      <c r="I128" s="6">
        <f>I127*$H$3</f>
        <v>1501250</v>
      </c>
      <c r="J128" s="7"/>
      <c r="K128" s="6">
        <f>K127*$H$3</f>
        <v>1430000</v>
      </c>
      <c r="L128" s="7"/>
    </row>
    <row r="129" spans="2:12" x14ac:dyDescent="0.2">
      <c r="B129" t="s">
        <v>15</v>
      </c>
      <c r="C129" s="8">
        <v>1.6</v>
      </c>
      <c r="D129" s="7"/>
      <c r="E129" s="8">
        <v>1.6</v>
      </c>
      <c r="F129" s="7"/>
      <c r="G129" s="8">
        <v>1.4</v>
      </c>
      <c r="H129" s="7"/>
      <c r="I129" s="8">
        <v>1.3</v>
      </c>
      <c r="J129" s="7"/>
      <c r="K129" s="8">
        <v>1.2</v>
      </c>
      <c r="L129" s="7"/>
    </row>
    <row r="130" spans="2:12" x14ac:dyDescent="0.2">
      <c r="B130" t="s">
        <v>13</v>
      </c>
      <c r="C130" s="6">
        <f>C128/C129</f>
        <v>1191406.25</v>
      </c>
      <c r="D130" s="7"/>
      <c r="E130" s="6">
        <f>E128/E129</f>
        <v>1195312.5</v>
      </c>
      <c r="F130" s="7"/>
      <c r="G130" s="6">
        <f>G128/G129</f>
        <v>1185267.8571428573</v>
      </c>
      <c r="H130" s="7"/>
      <c r="I130" s="6">
        <f>I128/I129</f>
        <v>1154807.6923076923</v>
      </c>
      <c r="J130" s="7"/>
      <c r="K130" s="6">
        <f>K128/K129</f>
        <v>1191666.6666666667</v>
      </c>
      <c r="L130" s="7"/>
    </row>
    <row r="131" spans="2:12" x14ac:dyDescent="0.2">
      <c r="B131" t="s">
        <v>14</v>
      </c>
      <c r="C131" s="6">
        <f>ROUNDUP(C130/155000,0)</f>
        <v>8</v>
      </c>
      <c r="D131" s="7"/>
      <c r="E131" s="6">
        <f>ROUNDUP(E130/155000,0)</f>
        <v>8</v>
      </c>
      <c r="F131" s="7"/>
      <c r="G131" s="6">
        <f>ROUNDUP(G130/155000,0)</f>
        <v>8</v>
      </c>
      <c r="H131" s="7"/>
      <c r="I131" s="6">
        <f>ROUNDUP(I130/155000,0)</f>
        <v>8</v>
      </c>
      <c r="J131" s="7"/>
      <c r="K131" s="6">
        <f>ROUNDUP(K130/155000,0)</f>
        <v>8</v>
      </c>
      <c r="L131" s="7"/>
    </row>
    <row r="132" spans="2:12" x14ac:dyDescent="0.2">
      <c r="C132" s="9"/>
      <c r="D132" s="10"/>
      <c r="E132" s="9"/>
      <c r="F132" s="10"/>
      <c r="G132" s="9"/>
      <c r="H132" s="10"/>
      <c r="I132" s="9"/>
      <c r="J132" s="10"/>
      <c r="K132" s="9"/>
      <c r="L132" s="10"/>
    </row>
    <row r="133" spans="2:12" x14ac:dyDescent="0.2">
      <c r="B133" t="s">
        <v>3</v>
      </c>
      <c r="C133" s="9"/>
      <c r="D133" s="10"/>
      <c r="E133" s="9"/>
      <c r="F133" s="10"/>
      <c r="G133" s="9"/>
      <c r="H133" s="10"/>
      <c r="I133" s="9"/>
      <c r="J133" s="10"/>
      <c r="K133" s="9"/>
      <c r="L133" s="10"/>
    </row>
    <row r="134" spans="2:12" x14ac:dyDescent="0.2">
      <c r="B134" t="s">
        <v>1</v>
      </c>
      <c r="C134" s="11">
        <v>0.17</v>
      </c>
      <c r="D134" s="12">
        <f>C134*C$7</f>
        <v>324062.5</v>
      </c>
      <c r="E134" s="11">
        <v>0.17</v>
      </c>
      <c r="F134" s="12">
        <f>E134*E$7</f>
        <v>325125</v>
      </c>
      <c r="G134" s="11">
        <v>0.17</v>
      </c>
      <c r="H134" s="12">
        <f>G134*G$7</f>
        <v>282093.75</v>
      </c>
      <c r="I134" s="11">
        <v>0.17</v>
      </c>
      <c r="J134" s="12">
        <f>I134*I$7</f>
        <v>255212.50000000003</v>
      </c>
      <c r="K134" s="11">
        <v>0.17</v>
      </c>
      <c r="L134" s="12">
        <f>K134*K$7</f>
        <v>243100.00000000003</v>
      </c>
    </row>
    <row r="135" spans="2:12" x14ac:dyDescent="0.2">
      <c r="B135" t="s">
        <v>4</v>
      </c>
      <c r="C135" s="11">
        <f>D135/C128</f>
        <v>0.13429508196721313</v>
      </c>
      <c r="D135" s="12">
        <f>C131*32000</f>
        <v>256000</v>
      </c>
      <c r="E135" s="11">
        <f>F135/E128</f>
        <v>0.13385620915032681</v>
      </c>
      <c r="F135" s="12">
        <f>E131*32000</f>
        <v>256000</v>
      </c>
      <c r="G135" s="11">
        <f>H135/G128</f>
        <v>0.15427495291902071</v>
      </c>
      <c r="H135" s="12">
        <f>G131*32000</f>
        <v>256000</v>
      </c>
      <c r="I135" s="11">
        <f>J135/I128</f>
        <v>0.17052456286427978</v>
      </c>
      <c r="J135" s="12">
        <f>I131*32000</f>
        <v>256000</v>
      </c>
      <c r="K135" s="11">
        <f>L135/K128</f>
        <v>0.17902097902097902</v>
      </c>
      <c r="L135" s="12">
        <f>K131*32000</f>
        <v>256000</v>
      </c>
    </row>
    <row r="136" spans="2:12" x14ac:dyDescent="0.2">
      <c r="B136" t="s">
        <v>5</v>
      </c>
      <c r="C136" s="11">
        <v>0.19</v>
      </c>
      <c r="D136" s="12">
        <f t="shared" ref="D136" si="94">C136*C$7</f>
        <v>362187.5</v>
      </c>
      <c r="E136" s="11">
        <v>0.34</v>
      </c>
      <c r="F136" s="12">
        <f t="shared" ref="F136" si="95">E136*E$7</f>
        <v>650250</v>
      </c>
      <c r="G136" s="11">
        <v>0.37</v>
      </c>
      <c r="H136" s="12">
        <f t="shared" ref="H136:H139" si="96">G136*G$7</f>
        <v>613968.75</v>
      </c>
      <c r="I136" s="11">
        <v>0.39</v>
      </c>
      <c r="J136" s="12">
        <f t="shared" ref="J136:J139" si="97">I136*I$7</f>
        <v>585487.5</v>
      </c>
      <c r="K136" s="11">
        <v>0.47</v>
      </c>
      <c r="L136" s="12">
        <f t="shared" ref="L136:L139" si="98">K136*K$7</f>
        <v>672100</v>
      </c>
    </row>
    <row r="137" spans="2:12" x14ac:dyDescent="0.2">
      <c r="B137" t="s">
        <v>6</v>
      </c>
      <c r="C137" s="11">
        <v>0.03</v>
      </c>
      <c r="D137" s="12">
        <f t="shared" ref="D137" si="99">C137*C$7</f>
        <v>57187.5</v>
      </c>
      <c r="E137" s="11">
        <v>0.02</v>
      </c>
      <c r="F137" s="12">
        <f t="shared" ref="F137" si="100">E137*E$7</f>
        <v>38250</v>
      </c>
      <c r="G137" s="11">
        <v>0.02</v>
      </c>
      <c r="H137" s="12">
        <f t="shared" si="96"/>
        <v>33187.5</v>
      </c>
      <c r="I137" s="11">
        <v>0.03</v>
      </c>
      <c r="J137" s="12">
        <f t="shared" si="97"/>
        <v>45037.5</v>
      </c>
      <c r="K137" s="11">
        <v>0.03</v>
      </c>
      <c r="L137" s="12">
        <f t="shared" si="98"/>
        <v>42900</v>
      </c>
    </row>
    <row r="138" spans="2:12" x14ac:dyDescent="0.2">
      <c r="B138" t="s">
        <v>7</v>
      </c>
      <c r="C138" s="11">
        <v>0.05</v>
      </c>
      <c r="D138" s="12">
        <f t="shared" ref="D138" si="101">C138*C$7</f>
        <v>95312.5</v>
      </c>
      <c r="E138" s="11">
        <v>0.05</v>
      </c>
      <c r="F138" s="12">
        <f t="shared" ref="F138" si="102">E138*E$7</f>
        <v>95625</v>
      </c>
      <c r="G138" s="11">
        <v>0.05</v>
      </c>
      <c r="H138" s="12">
        <f t="shared" si="96"/>
        <v>82968.75</v>
      </c>
      <c r="I138" s="11">
        <v>0.05</v>
      </c>
      <c r="J138" s="12">
        <f t="shared" si="97"/>
        <v>75062.5</v>
      </c>
      <c r="K138" s="11">
        <v>0.05</v>
      </c>
      <c r="L138" s="12">
        <f t="shared" si="98"/>
        <v>71500</v>
      </c>
    </row>
    <row r="139" spans="2:12" x14ac:dyDescent="0.2">
      <c r="B139" t="s">
        <v>8</v>
      </c>
      <c r="C139" s="11">
        <v>0.4</v>
      </c>
      <c r="D139" s="12">
        <f t="shared" ref="D139" si="103">C139*C$7</f>
        <v>762500</v>
      </c>
      <c r="E139" s="11">
        <v>0.4</v>
      </c>
      <c r="F139" s="12">
        <f t="shared" ref="F139" si="104">E139*E$7</f>
        <v>765000</v>
      </c>
      <c r="G139" s="11">
        <v>0.4</v>
      </c>
      <c r="H139" s="12">
        <f t="shared" si="96"/>
        <v>663750</v>
      </c>
      <c r="I139" s="11">
        <v>0.4</v>
      </c>
      <c r="J139" s="12">
        <f t="shared" si="97"/>
        <v>600500</v>
      </c>
      <c r="K139" s="11">
        <v>0.4</v>
      </c>
      <c r="L139" s="12">
        <f t="shared" si="98"/>
        <v>572000</v>
      </c>
    </row>
    <row r="140" spans="2:12" x14ac:dyDescent="0.2">
      <c r="C140" s="9"/>
      <c r="D140" s="13"/>
      <c r="E140" s="9"/>
      <c r="F140" s="13"/>
      <c r="G140" s="9"/>
      <c r="H140" s="13"/>
      <c r="I140" s="9"/>
      <c r="J140" s="13"/>
      <c r="K140" s="9"/>
      <c r="L140" s="13"/>
    </row>
    <row r="141" spans="2:12" x14ac:dyDescent="0.2">
      <c r="B141" t="s">
        <v>11</v>
      </c>
      <c r="C141" s="14">
        <f>SUM(C134:C140)</f>
        <v>0.97429508196721315</v>
      </c>
      <c r="D141" s="13">
        <f>SUM(D134:D140)</f>
        <v>1857250</v>
      </c>
      <c r="E141" s="14">
        <f t="shared" ref="E141" si="105">SUM(E134:E140)</f>
        <v>1.113856209150327</v>
      </c>
      <c r="F141" s="13">
        <f t="shared" ref="F141" si="106">SUM(F134:F140)</f>
        <v>2130250</v>
      </c>
      <c r="G141" s="14">
        <f t="shared" ref="G141" si="107">SUM(G134:G140)</f>
        <v>1.1642749529190208</v>
      </c>
      <c r="H141" s="13">
        <f t="shared" ref="H141" si="108">SUM(H134:H140)</f>
        <v>1931968.75</v>
      </c>
      <c r="I141" s="14">
        <f t="shared" ref="I141" si="109">SUM(I134:I140)</f>
        <v>1.21052456286428</v>
      </c>
      <c r="J141" s="13">
        <f t="shared" ref="J141" si="110">SUM(J134:J140)</f>
        <v>1817300</v>
      </c>
      <c r="K141" s="14">
        <f t="shared" ref="K141" si="111">SUM(K134:K140)</f>
        <v>1.299020979020979</v>
      </c>
      <c r="L141" s="13">
        <f t="shared" ref="L141" si="112">SUM(L134:L140)</f>
        <v>1857600</v>
      </c>
    </row>
    <row r="142" spans="2:12" x14ac:dyDescent="0.2">
      <c r="C142" s="9"/>
      <c r="D142" s="10"/>
      <c r="E142" s="9"/>
      <c r="F142" s="10"/>
      <c r="G142" s="9"/>
      <c r="H142" s="10"/>
      <c r="I142" s="9"/>
      <c r="J142" s="10"/>
      <c r="K142" s="9"/>
      <c r="L142" s="10"/>
    </row>
    <row r="143" spans="2:12" x14ac:dyDescent="0.2">
      <c r="B143" t="s">
        <v>9</v>
      </c>
      <c r="C143" s="9">
        <v>1143</v>
      </c>
      <c r="D143" s="10"/>
      <c r="E143" s="9">
        <v>1143</v>
      </c>
      <c r="F143" s="10"/>
      <c r="G143" s="9">
        <v>1252</v>
      </c>
      <c r="H143" s="10"/>
      <c r="I143" s="9">
        <v>1337</v>
      </c>
      <c r="J143" s="10"/>
      <c r="K143" s="9">
        <v>1352</v>
      </c>
      <c r="L143" s="10"/>
    </row>
    <row r="144" spans="2:12" ht="16" thickBot="1" x14ac:dyDescent="0.25">
      <c r="B144" t="s">
        <v>10</v>
      </c>
      <c r="C144" s="15">
        <f>C128*C143/1000</f>
        <v>2178843.75</v>
      </c>
      <c r="D144" s="16"/>
      <c r="E144" s="15">
        <f>E128*E143/1000</f>
        <v>2185987.5</v>
      </c>
      <c r="F144" s="16"/>
      <c r="G144" s="15">
        <f>G128*G143/1000</f>
        <v>2077537.5</v>
      </c>
      <c r="H144" s="16"/>
      <c r="I144" s="15">
        <f>I128*I143/1000</f>
        <v>2007171.25</v>
      </c>
      <c r="J144" s="16"/>
      <c r="K144" s="15">
        <f>K128*K143/1000</f>
        <v>1933360</v>
      </c>
      <c r="L144" s="16"/>
    </row>
    <row r="146" spans="3:11" x14ac:dyDescent="0.2">
      <c r="C146" s="2">
        <f>D141/C144</f>
        <v>0.85240164651549699</v>
      </c>
      <c r="D146" s="2"/>
      <c r="E146" s="2">
        <f>F141/E144</f>
        <v>0.97450237021025965</v>
      </c>
      <c r="F146" s="2"/>
      <c r="G146" s="2">
        <f>H141/G144</f>
        <v>0.92993207102158204</v>
      </c>
      <c r="H146" s="2"/>
      <c r="I146" s="2">
        <f>J141/I144</f>
        <v>0.90540356235174257</v>
      </c>
      <c r="J146" s="2"/>
      <c r="K146" s="2">
        <f>L141/K144</f>
        <v>0.9608143335953987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Pagonis</dc:creator>
  <cp:lastModifiedBy>Marc-André La Barre</cp:lastModifiedBy>
  <dcterms:created xsi:type="dcterms:W3CDTF">2026-01-23T15:13:52Z</dcterms:created>
  <dcterms:modified xsi:type="dcterms:W3CDTF">2026-01-23T18:39:56Z</dcterms:modified>
</cp:coreProperties>
</file>