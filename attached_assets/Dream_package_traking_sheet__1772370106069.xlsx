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ocuments\Scale\Dream\"/>
    </mc:Choice>
  </mc:AlternateContent>
  <xr:revisionPtr revIDLastSave="0" documentId="8_{20DC016B-9FC4-4757-BC65-E7E98B85977A}" xr6:coauthVersionLast="47" xr6:coauthVersionMax="47" xr10:uidLastSave="{00000000-0000-0000-0000-000000000000}"/>
  <bookViews>
    <workbookView xWindow="-120" yWindow="-120" windowWidth="29040" windowHeight="17640" xr2:uid="{4DE864AD-3329-4696-A401-F39594A02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L14" i="1"/>
  <c r="M14" i="1"/>
  <c r="N14" i="1"/>
  <c r="C27" i="1"/>
  <c r="D27" i="1"/>
  <c r="E27" i="1"/>
  <c r="F27" i="1"/>
  <c r="G27" i="1"/>
  <c r="H27" i="1"/>
  <c r="I27" i="1"/>
  <c r="J27" i="1"/>
  <c r="K27" i="1"/>
  <c r="L27" i="1"/>
  <c r="M27" i="1"/>
  <c r="C14" i="1"/>
  <c r="D25" i="1"/>
  <c r="E25" i="1"/>
  <c r="F25" i="1"/>
  <c r="G25" i="1"/>
  <c r="H25" i="1"/>
  <c r="I25" i="1"/>
  <c r="J25" i="1"/>
  <c r="K25" i="1"/>
  <c r="L25" i="1"/>
  <c r="M25" i="1"/>
  <c r="C25" i="1"/>
  <c r="D12" i="1"/>
  <c r="E12" i="1"/>
  <c r="F12" i="1"/>
  <c r="G12" i="1"/>
  <c r="H12" i="1"/>
  <c r="I12" i="1"/>
  <c r="J12" i="1"/>
  <c r="K12" i="1"/>
  <c r="L12" i="1"/>
  <c r="M12" i="1"/>
  <c r="N12" i="1"/>
  <c r="C12" i="1"/>
</calcChain>
</file>

<file path=xl/sharedStrings.xml><?xml version="1.0" encoding="utf-8"?>
<sst xmlns="http://schemas.openxmlformats.org/spreadsheetml/2006/main" count="98" uniqueCount="54">
  <si>
    <t>Dream Summit Industrial (Quebec) Inc.</t>
  </si>
  <si>
    <t>BU</t>
  </si>
  <si>
    <t>MON7003</t>
  </si>
  <si>
    <t>MON7017</t>
  </si>
  <si>
    <t>MON7020</t>
  </si>
  <si>
    <t>MON7024</t>
  </si>
  <si>
    <t>MON7025</t>
  </si>
  <si>
    <t>MON7026</t>
  </si>
  <si>
    <t>MON7027</t>
  </si>
  <si>
    <t>MON7028</t>
  </si>
  <si>
    <t>MON7030</t>
  </si>
  <si>
    <t>MON7038</t>
  </si>
  <si>
    <t>MON7043</t>
  </si>
  <si>
    <t>MON7044</t>
  </si>
  <si>
    <t>Building Location</t>
  </si>
  <si>
    <t>Montreal, QC</t>
  </si>
  <si>
    <t>Lachine, QC</t>
  </si>
  <si>
    <t>Pointe-Claire, QC</t>
  </si>
  <si>
    <t>Dorval, QC</t>
  </si>
  <si>
    <t>Saint-Laurent, QC</t>
  </si>
  <si>
    <t>Montreal</t>
  </si>
  <si>
    <t>Laval</t>
  </si>
  <si>
    <t>Lachine</t>
  </si>
  <si>
    <t>Longueuil</t>
  </si>
  <si>
    <t>Address</t>
  </si>
  <si>
    <t>2580 Dollard Avenue</t>
  </si>
  <si>
    <t>1600 50th Avenue</t>
  </si>
  <si>
    <t>5500 Trans-Canada Highway</t>
  </si>
  <si>
    <t>117 Hymus Boulevard</t>
  </si>
  <si>
    <t>7101 Notre-Dame Street East</t>
  </si>
  <si>
    <t>2900 Avenue Andre</t>
  </si>
  <si>
    <t>7350 Trans-Canada Highway</t>
  </si>
  <si>
    <t>2520 Marie-Curie</t>
  </si>
  <si>
    <t>1177-1185 55e Ave</t>
  </si>
  <si>
    <t>5685 Rue Cypihot</t>
  </si>
  <si>
    <t>3665 Boulevard Poirier</t>
  </si>
  <si>
    <t>7800 Transcanada</t>
  </si>
  <si>
    <t>8000 Blaise-Pascal</t>
  </si>
  <si>
    <t>1313 Autoroute Chomedey</t>
  </si>
  <si>
    <t>1125 50th Avenue</t>
  </si>
  <si>
    <t>5000 rue Fairway &amp; 1645 50e Avenue</t>
  </si>
  <si>
    <t>333 Chemin du Tremblay</t>
  </si>
  <si>
    <t>1500 rue Nobel</t>
  </si>
  <si>
    <t>2350 de la Province</t>
  </si>
  <si>
    <t>2995 Le Corbusier</t>
  </si>
  <si>
    <t>700 McCaffrey Road</t>
  </si>
  <si>
    <t>401 Rue Marie Curie</t>
  </si>
  <si>
    <t>3055 Rue Anderson</t>
  </si>
  <si>
    <t>Owner</t>
  </si>
  <si>
    <t>Dream Industrial Canada Solar Inc</t>
  </si>
  <si>
    <t>Draft Layout size (DC)</t>
  </si>
  <si>
    <t>Total</t>
  </si>
  <si>
    <t>Price/w</t>
  </si>
  <si>
    <t>O &amp;M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</si>
</sst>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wrapText="1"/>
    </xf>
    <xf numFmtId="43" fontId="0" fillId="0" borderId="1" xfId="1" applyFont="1" applyBorder="1" applyAlignment="1">
      <alignment horizontal="center" wrapText="1"/>
    </xf>
    <xf numFmtId="43" fontId="0" fillId="0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0" xfId="0" applyNumberFormat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43" fontId="0" fillId="0" borderId="1" xfId="0" applyNumberFormat="1" applyBorder="1"/>
    <xf numFmtId="0" fontId="2" fillId="0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center" wrapText="1"/>
    </xf>
    <xf numFmtId="0" fontId="0" fillId="2" borderId="1" xfId="0" applyFill="1" applyBorder="1"/>
    <xf numFmtId="43" fontId="0" fillId="2" borderId="1" xfId="0" applyNumberFormat="1" applyFill="1" applyBorder="1"/>
    <xf numFmtId="0" fontId="0" fillId="2" borderId="0" xfId="0" applyFill="1"/>
    <xf numFmtId="43" fontId="0" fillId="2" borderId="0" xfId="0" applyNumberFormat="1" applyFill="1"/>
    <xf numFmtId="43" fontId="0" fillId="2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F953-10C7-4EFA-874D-3C2AB1B00271}">
  <dimension ref="B4:P27"/>
  <sheetViews>
    <sheetView tabSelected="1" topLeftCell="A7" workbookViewId="0">
      <selection activeCell="N20" sqref="N20"/>
    </sheetView>
  </sheetViews>
  <sheetFormatPr defaultRowHeight="15" x14ac:dyDescent="0.25"/>
  <cols>
    <col min="2" max="2" width="12.42578125" customWidth="1"/>
    <col min="3" max="16" width="14.42578125" customWidth="1"/>
  </cols>
  <sheetData>
    <row r="4" spans="2:16" x14ac:dyDescent="0.25">
      <c r="B4" s="1" t="s">
        <v>0</v>
      </c>
    </row>
    <row r="6" spans="2:16" ht="30" x14ac:dyDescent="0.25"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</row>
    <row r="7" spans="2:16" ht="45" x14ac:dyDescent="0.25">
      <c r="B7" s="2" t="s">
        <v>14</v>
      </c>
      <c r="C7" s="3" t="s">
        <v>15</v>
      </c>
      <c r="D7" s="3" t="s">
        <v>16</v>
      </c>
      <c r="E7" s="3" t="s">
        <v>17</v>
      </c>
      <c r="F7" s="3" t="s">
        <v>17</v>
      </c>
      <c r="G7" s="3" t="s">
        <v>15</v>
      </c>
      <c r="H7" s="3" t="s">
        <v>18</v>
      </c>
      <c r="I7" s="3" t="s">
        <v>15</v>
      </c>
      <c r="J7" s="3" t="s">
        <v>19</v>
      </c>
      <c r="K7" s="3" t="s">
        <v>18</v>
      </c>
      <c r="L7" s="3" t="s">
        <v>15</v>
      </c>
      <c r="M7" s="3" t="s">
        <v>19</v>
      </c>
      <c r="N7" s="3" t="s">
        <v>17</v>
      </c>
    </row>
    <row r="8" spans="2:16" ht="75" x14ac:dyDescent="0.25">
      <c r="B8" s="2" t="s">
        <v>24</v>
      </c>
      <c r="C8" s="13" t="s">
        <v>25</v>
      </c>
      <c r="D8" s="13" t="s">
        <v>26</v>
      </c>
      <c r="E8" s="3" t="s">
        <v>27</v>
      </c>
      <c r="F8" s="13" t="s">
        <v>28</v>
      </c>
      <c r="G8" s="3" t="s">
        <v>29</v>
      </c>
      <c r="H8" s="13" t="s">
        <v>30</v>
      </c>
      <c r="I8" s="3" t="s">
        <v>31</v>
      </c>
      <c r="J8" s="3" t="s">
        <v>32</v>
      </c>
      <c r="K8" s="13" t="s">
        <v>33</v>
      </c>
      <c r="L8" s="3" t="s">
        <v>34</v>
      </c>
      <c r="M8" s="3" t="s">
        <v>35</v>
      </c>
      <c r="N8" s="13" t="s">
        <v>36</v>
      </c>
    </row>
    <row r="9" spans="2:16" ht="90" x14ac:dyDescent="0.25">
      <c r="B9" s="2" t="s">
        <v>48</v>
      </c>
      <c r="C9" s="13" t="s">
        <v>0</v>
      </c>
      <c r="D9" s="13" t="s">
        <v>0</v>
      </c>
      <c r="E9" s="3" t="s">
        <v>0</v>
      </c>
      <c r="F9" s="13" t="s">
        <v>0</v>
      </c>
      <c r="G9" s="3" t="s">
        <v>0</v>
      </c>
      <c r="H9" s="13" t="s">
        <v>0</v>
      </c>
      <c r="I9" s="3" t="s">
        <v>0</v>
      </c>
      <c r="J9" s="3" t="s">
        <v>0</v>
      </c>
      <c r="K9" s="13" t="s">
        <v>0</v>
      </c>
      <c r="L9" s="3" t="s">
        <v>0</v>
      </c>
      <c r="M9" s="3" t="s">
        <v>0</v>
      </c>
      <c r="N9" s="13" t="s">
        <v>0</v>
      </c>
    </row>
    <row r="10" spans="2:16" ht="30" x14ac:dyDescent="0.25">
      <c r="B10" s="2" t="s">
        <v>50</v>
      </c>
      <c r="C10" s="14">
        <v>845.3</v>
      </c>
      <c r="D10" s="14">
        <v>2705.6</v>
      </c>
      <c r="E10" s="4">
        <v>4885</v>
      </c>
      <c r="F10" s="14">
        <v>2448.1</v>
      </c>
      <c r="G10" s="4">
        <v>6055</v>
      </c>
      <c r="H10" s="14">
        <v>1331.9</v>
      </c>
      <c r="I10" s="4">
        <v>907.5</v>
      </c>
      <c r="J10" s="5">
        <v>1650</v>
      </c>
      <c r="K10" s="14">
        <v>1510</v>
      </c>
      <c r="L10" s="4">
        <v>1813.8</v>
      </c>
      <c r="M10" s="5">
        <v>6205.6</v>
      </c>
      <c r="N10" s="14">
        <v>4237.5</v>
      </c>
    </row>
    <row r="11" spans="2:16" x14ac:dyDescent="0.25">
      <c r="B11" s="9" t="s">
        <v>52</v>
      </c>
      <c r="C11" s="15">
        <v>1.65</v>
      </c>
      <c r="D11" s="15">
        <v>1.64</v>
      </c>
      <c r="E11" s="10">
        <v>1.64</v>
      </c>
      <c r="F11" s="15">
        <v>1.64</v>
      </c>
      <c r="G11" s="10">
        <v>1.62</v>
      </c>
      <c r="H11" s="15">
        <v>1.65</v>
      </c>
      <c r="I11" s="10">
        <v>1.65</v>
      </c>
      <c r="J11" s="10">
        <v>1.65</v>
      </c>
      <c r="K11" s="15">
        <v>1.65</v>
      </c>
      <c r="L11" s="10">
        <v>1.65</v>
      </c>
      <c r="M11" s="10">
        <v>1.62</v>
      </c>
      <c r="N11" s="15">
        <v>1.63</v>
      </c>
    </row>
    <row r="12" spans="2:16" x14ac:dyDescent="0.25">
      <c r="B12" s="9" t="s">
        <v>51</v>
      </c>
      <c r="C12" s="16">
        <f>C10*C11*1000</f>
        <v>1394745</v>
      </c>
      <c r="D12" s="16">
        <f t="shared" ref="D12:N12" si="0">D10*D11*1000</f>
        <v>4437183.9999999991</v>
      </c>
      <c r="E12" s="11">
        <f t="shared" si="0"/>
        <v>8011400</v>
      </c>
      <c r="F12" s="16">
        <f t="shared" si="0"/>
        <v>4014883.9999999995</v>
      </c>
      <c r="G12" s="11">
        <f t="shared" si="0"/>
        <v>9809100</v>
      </c>
      <c r="H12" s="16">
        <f t="shared" si="0"/>
        <v>2197635</v>
      </c>
      <c r="I12" s="11">
        <f t="shared" si="0"/>
        <v>1497375</v>
      </c>
      <c r="J12" s="11">
        <f t="shared" si="0"/>
        <v>2722500</v>
      </c>
      <c r="K12" s="16">
        <f t="shared" si="0"/>
        <v>2491500</v>
      </c>
      <c r="L12" s="11">
        <f t="shared" si="0"/>
        <v>2992770</v>
      </c>
      <c r="M12" s="11">
        <f t="shared" si="0"/>
        <v>10053072.000000002</v>
      </c>
      <c r="N12" s="16">
        <f t="shared" si="0"/>
        <v>6907125</v>
      </c>
    </row>
    <row r="13" spans="2:16" x14ac:dyDescent="0.25">
      <c r="C13" s="17"/>
      <c r="D13" s="17"/>
      <c r="F13" s="17"/>
      <c r="H13" s="17"/>
      <c r="K13" s="17"/>
      <c r="N13" s="17"/>
    </row>
    <row r="14" spans="2:16" x14ac:dyDescent="0.25">
      <c r="B14" s="12" t="s">
        <v>53</v>
      </c>
      <c r="C14" s="18">
        <f>C10*10</f>
        <v>8453</v>
      </c>
      <c r="D14" s="18">
        <f t="shared" ref="D14:N14" si="1">D10*11.25</f>
        <v>30438</v>
      </c>
      <c r="E14" s="8">
        <f t="shared" si="1"/>
        <v>54956.25</v>
      </c>
      <c r="F14" s="18">
        <f t="shared" si="1"/>
        <v>27541.125</v>
      </c>
      <c r="G14" s="8">
        <f t="shared" si="1"/>
        <v>68118.75</v>
      </c>
      <c r="H14" s="18">
        <f t="shared" si="1"/>
        <v>14983.875000000002</v>
      </c>
      <c r="I14" s="8">
        <f t="shared" si="1"/>
        <v>10209.375</v>
      </c>
      <c r="J14" s="8">
        <f t="shared" si="1"/>
        <v>18562.5</v>
      </c>
      <c r="K14" s="18">
        <f t="shared" si="1"/>
        <v>16987.5</v>
      </c>
      <c r="L14" s="8">
        <f t="shared" si="1"/>
        <v>20405.25</v>
      </c>
      <c r="M14" s="8">
        <f t="shared" si="1"/>
        <v>69813</v>
      </c>
      <c r="N14" s="18">
        <f t="shared" si="1"/>
        <v>47671.875</v>
      </c>
      <c r="P14" s="8"/>
    </row>
    <row r="19" spans="2:16" x14ac:dyDescent="0.25">
      <c r="B19" s="2" t="s">
        <v>1</v>
      </c>
      <c r="C19" s="3">
        <v>21025</v>
      </c>
      <c r="D19" s="3">
        <v>21027</v>
      </c>
      <c r="E19" s="3">
        <v>21051</v>
      </c>
      <c r="F19" s="3">
        <v>21226</v>
      </c>
      <c r="G19" s="3">
        <v>21229</v>
      </c>
      <c r="H19" s="3">
        <v>21230</v>
      </c>
      <c r="I19" s="3">
        <v>21319</v>
      </c>
      <c r="J19" s="3">
        <v>21344</v>
      </c>
      <c r="K19" s="3">
        <v>21383</v>
      </c>
      <c r="L19" s="3">
        <v>21390</v>
      </c>
      <c r="M19" s="3">
        <v>21391</v>
      </c>
    </row>
    <row r="20" spans="2:16" ht="30" x14ac:dyDescent="0.25">
      <c r="B20" s="2" t="s">
        <v>14</v>
      </c>
      <c r="C20" s="3" t="s">
        <v>20</v>
      </c>
      <c r="D20" s="3" t="s">
        <v>21</v>
      </c>
      <c r="E20" s="3" t="s">
        <v>22</v>
      </c>
      <c r="F20" s="3" t="s">
        <v>20</v>
      </c>
      <c r="G20" s="3" t="s">
        <v>20</v>
      </c>
      <c r="H20" s="3" t="s">
        <v>20</v>
      </c>
      <c r="I20" s="3" t="s">
        <v>23</v>
      </c>
      <c r="J20" s="3" t="s">
        <v>20</v>
      </c>
      <c r="K20" s="3" t="s">
        <v>20</v>
      </c>
      <c r="L20" s="3" t="s">
        <v>20</v>
      </c>
      <c r="M20" s="3" t="s">
        <v>20</v>
      </c>
    </row>
    <row r="21" spans="2:16" ht="45" x14ac:dyDescent="0.25">
      <c r="B21" s="2" t="s">
        <v>24</v>
      </c>
      <c r="C21" s="3" t="s">
        <v>37</v>
      </c>
      <c r="D21" s="3" t="s">
        <v>38</v>
      </c>
      <c r="E21" s="13" t="s">
        <v>39</v>
      </c>
      <c r="F21" s="13" t="s">
        <v>40</v>
      </c>
      <c r="G21" s="3" t="s">
        <v>41</v>
      </c>
      <c r="H21" s="3" t="s">
        <v>42</v>
      </c>
      <c r="I21" s="13" t="s">
        <v>43</v>
      </c>
      <c r="J21" s="13" t="s">
        <v>44</v>
      </c>
      <c r="K21" s="13" t="s">
        <v>45</v>
      </c>
      <c r="L21" s="3" t="s">
        <v>46</v>
      </c>
      <c r="M21" s="3" t="s">
        <v>47</v>
      </c>
    </row>
    <row r="22" spans="2:16" ht="60" x14ac:dyDescent="0.25">
      <c r="B22" s="2" t="s">
        <v>48</v>
      </c>
      <c r="C22" s="3" t="s">
        <v>49</v>
      </c>
      <c r="D22" s="3" t="s">
        <v>49</v>
      </c>
      <c r="E22" s="13" t="s">
        <v>49</v>
      </c>
      <c r="F22" s="13" t="s">
        <v>49</v>
      </c>
      <c r="G22" s="3" t="s">
        <v>49</v>
      </c>
      <c r="H22" s="3" t="s">
        <v>49</v>
      </c>
      <c r="I22" s="13" t="s">
        <v>49</v>
      </c>
      <c r="J22" s="13" t="s">
        <v>49</v>
      </c>
      <c r="K22" s="13" t="s">
        <v>49</v>
      </c>
      <c r="L22" s="3" t="s">
        <v>49</v>
      </c>
      <c r="M22" s="3" t="s">
        <v>49</v>
      </c>
    </row>
    <row r="23" spans="2:16" ht="30" x14ac:dyDescent="0.25">
      <c r="B23" s="2" t="s">
        <v>50</v>
      </c>
      <c r="C23" s="7">
        <v>3282.5</v>
      </c>
      <c r="D23" s="6">
        <v>1774.4</v>
      </c>
      <c r="E23" s="14">
        <v>1906.25</v>
      </c>
      <c r="F23" s="19">
        <v>1008.8</v>
      </c>
      <c r="G23" s="7">
        <v>906.3</v>
      </c>
      <c r="H23" s="6">
        <v>875</v>
      </c>
      <c r="I23" s="19">
        <v>2562.5</v>
      </c>
      <c r="J23" s="19">
        <v>1251.9000000000001</v>
      </c>
      <c r="K23" s="14">
        <v>899.4</v>
      </c>
      <c r="L23" s="5">
        <v>8865.6</v>
      </c>
      <c r="M23" s="7">
        <v>4261.8999999999996</v>
      </c>
    </row>
    <row r="24" spans="2:16" x14ac:dyDescent="0.25">
      <c r="B24" s="9" t="s">
        <v>52</v>
      </c>
      <c r="C24" s="10">
        <v>1.63</v>
      </c>
      <c r="D24" s="10">
        <v>1.65</v>
      </c>
      <c r="E24" s="15">
        <v>1.65</v>
      </c>
      <c r="F24" s="15">
        <v>1.65</v>
      </c>
      <c r="G24" s="10">
        <v>1.65</v>
      </c>
      <c r="H24" s="10">
        <v>1.65</v>
      </c>
      <c r="I24" s="15">
        <v>1.64</v>
      </c>
      <c r="J24" s="15">
        <v>1.65</v>
      </c>
      <c r="K24" s="15">
        <v>1.65</v>
      </c>
      <c r="L24" s="10">
        <v>1.62</v>
      </c>
      <c r="M24" s="10">
        <v>1.63</v>
      </c>
    </row>
    <row r="25" spans="2:16" x14ac:dyDescent="0.25">
      <c r="B25" s="9" t="s">
        <v>51</v>
      </c>
      <c r="C25" s="11">
        <f>C23*C24*1000</f>
        <v>5350474.9999999991</v>
      </c>
      <c r="D25" s="11">
        <f t="shared" ref="D25:M25" si="2">D23*D24*1000</f>
        <v>2927760</v>
      </c>
      <c r="E25" s="16">
        <f t="shared" si="2"/>
        <v>3145312.5</v>
      </c>
      <c r="F25" s="16">
        <f t="shared" si="2"/>
        <v>1664519.9999999998</v>
      </c>
      <c r="G25" s="11">
        <f t="shared" si="2"/>
        <v>1495394.9999999998</v>
      </c>
      <c r="H25" s="11">
        <f t="shared" si="2"/>
        <v>1443750</v>
      </c>
      <c r="I25" s="16">
        <f t="shared" si="2"/>
        <v>4202500</v>
      </c>
      <c r="J25" s="16">
        <f t="shared" si="2"/>
        <v>2065635.0000000002</v>
      </c>
      <c r="K25" s="16">
        <f t="shared" si="2"/>
        <v>1484010</v>
      </c>
      <c r="L25" s="11">
        <f t="shared" si="2"/>
        <v>14362272</v>
      </c>
      <c r="M25" s="11">
        <f t="shared" si="2"/>
        <v>6946896.9999999991</v>
      </c>
    </row>
    <row r="26" spans="2:16" x14ac:dyDescent="0.25">
      <c r="E26" s="17"/>
      <c r="F26" s="17"/>
      <c r="I26" s="17"/>
      <c r="J26" s="17"/>
      <c r="K26" s="17"/>
    </row>
    <row r="27" spans="2:16" x14ac:dyDescent="0.25">
      <c r="B27" s="12" t="s">
        <v>53</v>
      </c>
      <c r="C27" s="8">
        <f>C23*11.25</f>
        <v>36928.125</v>
      </c>
      <c r="D27" s="8">
        <f t="shared" ref="D27:M27" si="3">D23*11.25</f>
        <v>19962</v>
      </c>
      <c r="E27" s="18">
        <f t="shared" si="3"/>
        <v>21445.3125</v>
      </c>
      <c r="F27" s="18">
        <f t="shared" si="3"/>
        <v>11349</v>
      </c>
      <c r="G27" s="8">
        <f t="shared" si="3"/>
        <v>10195.875</v>
      </c>
      <c r="H27" s="8">
        <f t="shared" si="3"/>
        <v>9843.75</v>
      </c>
      <c r="I27" s="18">
        <f t="shared" si="3"/>
        <v>28828.125</v>
      </c>
      <c r="J27" s="18">
        <f t="shared" si="3"/>
        <v>14083.875000000002</v>
      </c>
      <c r="K27" s="18">
        <f t="shared" si="3"/>
        <v>10118.25</v>
      </c>
      <c r="L27" s="8">
        <f t="shared" si="3"/>
        <v>99738</v>
      </c>
      <c r="M27" s="8">
        <f t="shared" si="3"/>
        <v>47946.374999999993</v>
      </c>
      <c r="P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Pagonis</dc:creator>
  <cp:lastModifiedBy>James Pagonis</cp:lastModifiedBy>
  <dcterms:created xsi:type="dcterms:W3CDTF">2026-02-28T22:21:42Z</dcterms:created>
  <dcterms:modified xsi:type="dcterms:W3CDTF">2026-03-01T01:29:27Z</dcterms:modified>
</cp:coreProperties>
</file>