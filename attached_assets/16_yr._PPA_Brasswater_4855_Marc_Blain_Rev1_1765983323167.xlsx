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damcohen/Desktop/TRC Solar /Brasswater/good/"/>
    </mc:Choice>
  </mc:AlternateContent>
  <xr:revisionPtr revIDLastSave="0" documentId="13_ncr:1_{D2D3137C-0C6F-D547-9AA2-75FE23B1EB56}" xr6:coauthVersionLast="45" xr6:coauthVersionMax="47" xr10:uidLastSave="{00000000-0000-0000-0000-000000000000}"/>
  <bookViews>
    <workbookView xWindow="0" yWindow="460" windowWidth="28800" windowHeight="17460" xr2:uid="{CC7FAE64-6E4C-4E79-AA8C-B31133EC0390}"/>
  </bookViews>
  <sheets>
    <sheet name="Marc Blain" sheetId="2" r:id="rId1"/>
  </sheets>
  <definedNames>
    <definedName name="_xlnm.Print_Area" localSheetId="0">'Marc Blain'!$A$1:$N$37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2" l="1"/>
  <c r="F3" i="2" l="1"/>
  <c r="F8" i="2"/>
  <c r="F7" i="2"/>
  <c r="F5" i="2"/>
  <c r="F4" i="2"/>
  <c r="J3" i="2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F6" i="2" l="1"/>
  <c r="F10" i="2"/>
  <c r="F14" i="2"/>
  <c r="F18" i="2"/>
  <c r="F22" i="2"/>
  <c r="J22" i="2" s="1"/>
  <c r="F26" i="2"/>
  <c r="J26" i="2" s="1"/>
  <c r="F30" i="2"/>
  <c r="J30" i="2" s="1"/>
  <c r="K30" i="2" s="1"/>
  <c r="F11" i="2"/>
  <c r="F15" i="2"/>
  <c r="F19" i="2"/>
  <c r="J19" i="2" s="1"/>
  <c r="K19" i="2" s="1"/>
  <c r="F23" i="2"/>
  <c r="J23" i="2" s="1"/>
  <c r="K23" i="2" s="1"/>
  <c r="F27" i="2"/>
  <c r="J27" i="2" s="1"/>
  <c r="K27" i="2" s="1"/>
  <c r="F31" i="2"/>
  <c r="J31" i="2" s="1"/>
  <c r="K22" i="2"/>
  <c r="K26" i="2"/>
  <c r="F16" i="2"/>
  <c r="F24" i="2"/>
  <c r="J24" i="2" s="1"/>
  <c r="F28" i="2"/>
  <c r="J28" i="2" s="1"/>
  <c r="F32" i="2"/>
  <c r="J32" i="2" s="1"/>
  <c r="K32" i="2" s="1"/>
  <c r="K31" i="2"/>
  <c r="F12" i="2"/>
  <c r="F20" i="2"/>
  <c r="J20" i="2" s="1"/>
  <c r="K20" i="2" s="1"/>
  <c r="F9" i="2"/>
  <c r="F13" i="2"/>
  <c r="F17" i="2"/>
  <c r="F21" i="2"/>
  <c r="J21" i="2" s="1"/>
  <c r="K21" i="2" s="1"/>
  <c r="F25" i="2"/>
  <c r="J25" i="2" s="1"/>
  <c r="K25" i="2" s="1"/>
  <c r="F29" i="2"/>
  <c r="J29" i="2" s="1"/>
  <c r="K29" i="2" s="1"/>
  <c r="K24" i="2"/>
  <c r="K28" i="2"/>
  <c r="B6" i="2"/>
  <c r="B9" i="2"/>
  <c r="B13" i="2" l="1"/>
  <c r="H3" i="2"/>
  <c r="I3" i="2" s="1"/>
  <c r="M3" i="2" s="1"/>
  <c r="O4" i="2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6" i="2" l="1"/>
  <c r="B19" i="2" s="1"/>
  <c r="B23" i="2" s="1"/>
  <c r="V9" i="2"/>
  <c r="G3" i="2"/>
  <c r="G4" i="2" l="1"/>
  <c r="H4" i="2" s="1"/>
  <c r="J4" i="2" s="1"/>
  <c r="K4" i="2" s="1"/>
  <c r="G5" i="2" l="1"/>
  <c r="H5" i="2" s="1"/>
  <c r="J5" i="2" s="1"/>
  <c r="K5" i="2" s="1"/>
  <c r="I4" i="2"/>
  <c r="I5" i="2" l="1"/>
  <c r="N5" i="2" s="1"/>
  <c r="M4" i="2"/>
  <c r="N4" i="2"/>
  <c r="G6" i="2"/>
  <c r="H6" i="2" s="1"/>
  <c r="J6" i="2" s="1"/>
  <c r="K6" i="2" s="1"/>
  <c r="M5" i="2" l="1"/>
  <c r="I6" i="2"/>
  <c r="G7" i="2"/>
  <c r="H7" i="2" s="1"/>
  <c r="J7" i="2" s="1"/>
  <c r="K7" i="2" s="1"/>
  <c r="N6" i="2" l="1"/>
  <c r="M6" i="2"/>
  <c r="G8" i="2"/>
  <c r="H8" i="2" s="1"/>
  <c r="J8" i="2" s="1"/>
  <c r="K8" i="2" s="1"/>
  <c r="I7" i="2"/>
  <c r="N7" i="2" l="1"/>
  <c r="M7" i="2"/>
  <c r="G9" i="2"/>
  <c r="H9" i="2" s="1"/>
  <c r="J9" i="2" s="1"/>
  <c r="K9" i="2" s="1"/>
  <c r="I8" i="2"/>
  <c r="N8" i="2" s="1"/>
  <c r="G10" i="2" l="1"/>
  <c r="H10" i="2" s="1"/>
  <c r="J10" i="2" s="1"/>
  <c r="K10" i="2" s="1"/>
  <c r="I9" i="2"/>
  <c r="N9" i="2" s="1"/>
  <c r="M8" i="2"/>
  <c r="M9" i="2" l="1"/>
  <c r="I10" i="2"/>
  <c r="N10" i="2" s="1"/>
  <c r="G11" i="2"/>
  <c r="H11" i="2" s="1"/>
  <c r="J11" i="2" s="1"/>
  <c r="K11" i="2" s="1"/>
  <c r="I11" i="2" l="1"/>
  <c r="N11" i="2" s="1"/>
  <c r="G12" i="2"/>
  <c r="H12" i="2" s="1"/>
  <c r="J12" i="2" s="1"/>
  <c r="K12" i="2" s="1"/>
  <c r="M10" i="2"/>
  <c r="G13" i="2" l="1"/>
  <c r="H13" i="2" s="1"/>
  <c r="J13" i="2" s="1"/>
  <c r="K13" i="2" s="1"/>
  <c r="I12" i="2"/>
  <c r="N12" i="2" s="1"/>
  <c r="M11" i="2"/>
  <c r="M12" i="2" s="1"/>
  <c r="G14" i="2" l="1"/>
  <c r="H14" i="2" s="1"/>
  <c r="J14" i="2" s="1"/>
  <c r="K14" i="2" s="1"/>
  <c r="I13" i="2"/>
  <c r="N13" i="2" s="1"/>
  <c r="I14" i="2"/>
  <c r="N14" i="2" s="1"/>
  <c r="G15" i="2"/>
  <c r="H15" i="2" s="1"/>
  <c r="J15" i="2" s="1"/>
  <c r="K15" i="2" s="1"/>
  <c r="M13" i="2" l="1"/>
  <c r="M14" i="2" s="1"/>
  <c r="G16" i="2"/>
  <c r="H16" i="2" s="1"/>
  <c r="J16" i="2" s="1"/>
  <c r="K16" i="2" s="1"/>
  <c r="I15" i="2"/>
  <c r="N15" i="2" s="1"/>
  <c r="M15" i="2" l="1"/>
  <c r="G17" i="2"/>
  <c r="H17" i="2" s="1"/>
  <c r="J17" i="2" s="1"/>
  <c r="K17" i="2" s="1"/>
  <c r="I16" i="2"/>
  <c r="M16" i="2" l="1"/>
  <c r="N16" i="2"/>
  <c r="I17" i="2"/>
  <c r="G18" i="2"/>
  <c r="H18" i="2" s="1"/>
  <c r="J18" i="2" s="1"/>
  <c r="K18" i="2" s="1"/>
  <c r="M17" i="2" l="1"/>
  <c r="N17" i="2"/>
  <c r="G19" i="2"/>
  <c r="L19" i="2" s="1"/>
  <c r="I18" i="2"/>
  <c r="M18" i="2" s="1"/>
  <c r="M34" i="2" s="1"/>
  <c r="N18" i="2" l="1"/>
  <c r="I19" i="2"/>
  <c r="M19" i="2" s="1"/>
  <c r="G20" i="2"/>
  <c r="L20" i="2" s="1"/>
  <c r="N19" i="2" l="1"/>
  <c r="I20" i="2"/>
  <c r="M20" i="2" s="1"/>
  <c r="G21" i="2"/>
  <c r="L21" i="2" s="1"/>
  <c r="N20" i="2" l="1"/>
  <c r="I21" i="2"/>
  <c r="M21" i="2" s="1"/>
  <c r="G22" i="2"/>
  <c r="L22" i="2" s="1"/>
  <c r="N21" i="2" l="1"/>
  <c r="I22" i="2"/>
  <c r="M22" i="2" s="1"/>
  <c r="G23" i="2"/>
  <c r="L23" i="2" s="1"/>
  <c r="N22" i="2" l="1"/>
  <c r="G24" i="2"/>
  <c r="L24" i="2" s="1"/>
  <c r="I23" i="2"/>
  <c r="M23" i="2" s="1"/>
  <c r="N23" i="2" l="1"/>
  <c r="I24" i="2"/>
  <c r="M24" i="2" s="1"/>
  <c r="G25" i="2"/>
  <c r="L25" i="2" s="1"/>
  <c r="N24" i="2" l="1"/>
  <c r="G26" i="2"/>
  <c r="L26" i="2" s="1"/>
  <c r="I25" i="2"/>
  <c r="M25" i="2" s="1"/>
  <c r="N25" i="2" l="1"/>
  <c r="I26" i="2"/>
  <c r="M26" i="2" s="1"/>
  <c r="G27" i="2"/>
  <c r="L27" i="2" s="1"/>
  <c r="N26" i="2" l="1"/>
  <c r="G28" i="2"/>
  <c r="L28" i="2" s="1"/>
  <c r="I27" i="2"/>
  <c r="M27" i="2" s="1"/>
  <c r="M35" i="2" l="1"/>
  <c r="N27" i="2"/>
  <c r="I28" i="2"/>
  <c r="M28" i="2" s="1"/>
  <c r="G29" i="2"/>
  <c r="L29" i="2" s="1"/>
  <c r="N28" i="2" l="1"/>
  <c r="G30" i="2"/>
  <c r="L30" i="2" s="1"/>
  <c r="I29" i="2"/>
  <c r="M29" i="2" s="1"/>
  <c r="N29" i="2" l="1"/>
  <c r="I30" i="2"/>
  <c r="M30" i="2" s="1"/>
  <c r="G31" i="2"/>
  <c r="L31" i="2" s="1"/>
  <c r="N30" i="2" l="1"/>
  <c r="G32" i="2"/>
  <c r="L32" i="2" s="1"/>
  <c r="I31" i="2"/>
  <c r="M31" i="2" s="1"/>
  <c r="N31" i="2" l="1"/>
  <c r="I32" i="2"/>
  <c r="M32" i="2" s="1"/>
  <c r="M36" i="2" s="1"/>
  <c r="N32" i="2" l="1"/>
</calcChain>
</file>

<file path=xl/sharedStrings.xml><?xml version="1.0" encoding="utf-8"?>
<sst xmlns="http://schemas.openxmlformats.org/spreadsheetml/2006/main" count="36" uniqueCount="35">
  <si>
    <t>Year</t>
  </si>
  <si>
    <t>Cumulative Savings</t>
  </si>
  <si>
    <t>Elec Rate/kWh</t>
  </si>
  <si>
    <t>Balance/Loan</t>
  </si>
  <si>
    <t>Cost after grants</t>
  </si>
  <si>
    <t>Annual power generation value</t>
  </si>
  <si>
    <t>Project Cost/kW</t>
  </si>
  <si>
    <t>Total Project Construction Cost</t>
  </si>
  <si>
    <t>Value of Energy Supplied by Solar</t>
  </si>
  <si>
    <t>Cost of Solar Energy</t>
  </si>
  <si>
    <t>Potential Project size (kW)</t>
  </si>
  <si>
    <t>Revenue/Sq.m. annually</t>
  </si>
  <si>
    <t>Cost of Energy Year 1</t>
  </si>
  <si>
    <t>Annual Inflation</t>
  </si>
  <si>
    <t>Roof Size Req'd for Solar (Sq.m)</t>
  </si>
  <si>
    <t xml:space="preserve">Brasswater 4855 Marc Blain               Safdie Tenant                         </t>
  </si>
  <si>
    <t xml:space="preserve">7% Maintenance and Insurance cost </t>
  </si>
  <si>
    <t>ITC Grant</t>
  </si>
  <si>
    <t>Cost of Energy year 2-16</t>
  </si>
  <si>
    <t xml:space="preserve">Cost of Energy year 17-30 </t>
  </si>
  <si>
    <t>Maint. &amp; Ins.</t>
  </si>
  <si>
    <t>Clients Energy Cost Savings Over 16 Year PPA</t>
  </si>
  <si>
    <t>Clients Energy Cost Savings Over 25 Year Warranty</t>
  </si>
  <si>
    <t xml:space="preserve">Clients Energy Cost Savings Over 30 Year System Lifespan </t>
  </si>
  <si>
    <t>Proposal #12250 Oct 28 2025</t>
  </si>
  <si>
    <t>Annual HQ cost with 3% annual inflation</t>
  </si>
  <si>
    <t>Annual projected invoicing from HQ</t>
  </si>
  <si>
    <t>Savings/Revenue on the cost of Solar Power</t>
  </si>
  <si>
    <t>Combined energy cost of Solar and HQ</t>
  </si>
  <si>
    <t xml:space="preserve">Total Overall Savings Percentage  </t>
  </si>
  <si>
    <t>Assumptions</t>
  </si>
  <si>
    <t>Annual Panel Degradation</t>
  </si>
  <si>
    <t>Solar Energy Generation Capacity (KWh)</t>
  </si>
  <si>
    <t>Sun hours = 70% of Total Consumption</t>
  </si>
  <si>
    <t>85,000 sq. ft. of roof coverage by Solar power plant. No out-of-pocket upfront expenditures by the customer. 16 Year Power-Purchase-Agreement providing energy at 35% savings over utility rate. Client aquires system ownership in year 17 onward. 25 year performance warranty on solar panels (Spreadsheet assumptions:  3% Annual Inflation and .02% panel degradation)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</si>
</sst>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  <numFmt numFmtId="167" formatCode="_-&quot;$&quot;* #,##0.000_-;\-&quot;$&quot;* #,##0.000_-;_-&quot;$&quot;* &quot;-&quot;??_-;_-@_-"/>
    <numFmt numFmtId="168" formatCode="_-&quot;$&quot;* #,##0_-;\-&quot;$&quot;* #,##0_-;_-&quot;$&quot;* &quot;-&quot;???_-;_-@_-"/>
    <numFmt numFmtId="169" formatCode="_-&quot;$&quot;* #,##0_-;\-&quot;$&quot;* #,##0_-;_-&quot;$&quot;* &quot;-&quot;??_-;_-@_-"/>
    <numFmt numFmtId="170" formatCode="_-&quot;$&quot;* #,##0.00000_-;\-&quot;$&quot;* #,##0.00000_-;_-&quot;$&quot;* &quot;-&quot;??_-;_-@_-"/>
    <numFmt numFmtId="171" formatCode="_-* #,##0.0_-;\-* #,##0.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 applyAlignment="1">
      <alignment horizontal="center" vertical="center" wrapText="1"/>
    </xf>
    <xf numFmtId="166" fontId="0" fillId="0" borderId="0" xfId="1" applyNumberFormat="1" applyFont="1" applyFill="1"/>
    <xf numFmtId="169" fontId="0" fillId="0" borderId="0" xfId="2" applyNumberFormat="1" applyFont="1" applyFill="1"/>
    <xf numFmtId="167" fontId="0" fillId="0" borderId="0" xfId="2" applyNumberFormat="1" applyFont="1" applyFill="1"/>
    <xf numFmtId="168" fontId="0" fillId="0" borderId="0" xfId="0" applyNumberFormat="1"/>
    <xf numFmtId="9" fontId="0" fillId="0" borderId="0" xfId="3" applyFont="1" applyFill="1"/>
    <xf numFmtId="165" fontId="0" fillId="0" borderId="0" xfId="1" applyFont="1" applyFill="1"/>
    <xf numFmtId="0" fontId="2" fillId="0" borderId="0" xfId="0" applyFont="1" applyAlignment="1">
      <alignment vertical="top" wrapText="1"/>
    </xf>
    <xf numFmtId="164" fontId="2" fillId="0" borderId="0" xfId="2" applyFont="1" applyFill="1" applyAlignment="1">
      <alignment vertical="top" wrapText="1"/>
    </xf>
    <xf numFmtId="164" fontId="0" fillId="0" borderId="0" xfId="2" applyFont="1" applyFill="1"/>
    <xf numFmtId="169" fontId="0" fillId="0" borderId="0" xfId="2" applyNumberFormat="1" applyFont="1" applyFill="1" applyBorder="1"/>
    <xf numFmtId="0" fontId="2" fillId="0" borderId="0" xfId="0" applyFont="1"/>
    <xf numFmtId="164" fontId="0" fillId="0" borderId="0" xfId="0" applyNumberFormat="1"/>
    <xf numFmtId="0" fontId="3" fillId="0" borderId="0" xfId="0" applyFont="1" applyAlignment="1">
      <alignment wrapText="1"/>
    </xf>
    <xf numFmtId="167" fontId="0" fillId="0" borderId="0" xfId="2" applyNumberFormat="1" applyFont="1"/>
    <xf numFmtId="167" fontId="2" fillId="0" borderId="0" xfId="2" applyNumberFormat="1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1" applyNumberFormat="1" applyFont="1" applyBorder="1"/>
    <xf numFmtId="167" fontId="0" fillId="0" borderId="0" xfId="2" applyNumberFormat="1" applyFont="1" applyBorder="1"/>
    <xf numFmtId="165" fontId="0" fillId="0" borderId="0" xfId="0" applyNumberFormat="1"/>
    <xf numFmtId="169" fontId="0" fillId="0" borderId="0" xfId="0" applyNumberFormat="1"/>
    <xf numFmtId="9" fontId="0" fillId="0" borderId="0" xfId="0" applyNumberFormat="1"/>
    <xf numFmtId="170" fontId="0" fillId="0" borderId="0" xfId="0" applyNumberFormat="1"/>
    <xf numFmtId="167" fontId="0" fillId="0" borderId="0" xfId="0" applyNumberFormat="1"/>
    <xf numFmtId="169" fontId="4" fillId="0" borderId="0" xfId="0" applyNumberFormat="1" applyFont="1"/>
    <xf numFmtId="164" fontId="5" fillId="0" borderId="0" xfId="2" applyFont="1" applyFill="1" applyAlignment="1">
      <alignment vertical="center"/>
    </xf>
    <xf numFmtId="0" fontId="2" fillId="0" borderId="0" xfId="0" applyFont="1" applyAlignment="1">
      <alignment vertical="center" wrapText="1"/>
    </xf>
    <xf numFmtId="169" fontId="6" fillId="0" borderId="0" xfId="2" applyNumberFormat="1" applyFont="1" applyFill="1"/>
    <xf numFmtId="0" fontId="9" fillId="0" borderId="0" xfId="0" applyFont="1" applyBorder="1"/>
    <xf numFmtId="0" fontId="8" fillId="0" borderId="0" xfId="0" applyFont="1" applyBorder="1"/>
    <xf numFmtId="0" fontId="0" fillId="0" borderId="0" xfId="0" applyBorder="1"/>
    <xf numFmtId="0" fontId="9" fillId="0" borderId="4" xfId="0" applyFont="1" applyBorder="1"/>
    <xf numFmtId="0" fontId="8" fillId="0" borderId="5" xfId="0" applyFont="1" applyBorder="1"/>
    <xf numFmtId="0" fontId="2" fillId="0" borderId="1" xfId="0" applyFont="1" applyBorder="1"/>
    <xf numFmtId="169" fontId="0" fillId="0" borderId="3" xfId="2" applyNumberFormat="1" applyFont="1" applyFill="1" applyBorder="1"/>
    <xf numFmtId="0" fontId="0" fillId="0" borderId="6" xfId="0" applyBorder="1"/>
    <xf numFmtId="0" fontId="0" fillId="0" borderId="0" xfId="0" applyFont="1"/>
    <xf numFmtId="169" fontId="9" fillId="0" borderId="7" xfId="0" applyNumberFormat="1" applyFont="1" applyBorder="1"/>
    <xf numFmtId="166" fontId="0" fillId="0" borderId="8" xfId="1" applyNumberFormat="1" applyFont="1" applyFill="1" applyBorder="1"/>
    <xf numFmtId="164" fontId="0" fillId="0" borderId="0" xfId="2" applyFont="1" applyFill="1" applyBorder="1"/>
    <xf numFmtId="166" fontId="0" fillId="0" borderId="7" xfId="1" applyNumberFormat="1" applyFont="1" applyFill="1" applyBorder="1"/>
    <xf numFmtId="166" fontId="0" fillId="2" borderId="6" xfId="1" applyNumberFormat="1" applyFont="1" applyFill="1" applyBorder="1"/>
    <xf numFmtId="171" fontId="0" fillId="2" borderId="6" xfId="1" applyNumberFormat="1" applyFont="1" applyFill="1" applyBorder="1"/>
    <xf numFmtId="166" fontId="0" fillId="3" borderId="1" xfId="1" applyNumberFormat="1" applyFont="1" applyFill="1" applyBorder="1"/>
    <xf numFmtId="169" fontId="0" fillId="3" borderId="2" xfId="2" applyNumberFormat="1" applyFont="1" applyFill="1" applyBorder="1"/>
    <xf numFmtId="164" fontId="0" fillId="3" borderId="2" xfId="2" applyFont="1" applyFill="1" applyBorder="1"/>
    <xf numFmtId="166" fontId="0" fillId="3" borderId="3" xfId="1" applyNumberFormat="1" applyFont="1" applyFill="1" applyBorder="1"/>
    <xf numFmtId="169" fontId="6" fillId="3" borderId="2" xfId="2" applyNumberFormat="1" applyFont="1" applyFill="1" applyBorder="1"/>
    <xf numFmtId="0" fontId="9" fillId="3" borderId="1" xfId="0" applyFont="1" applyFill="1" applyBorder="1"/>
    <xf numFmtId="0" fontId="9" fillId="3" borderId="2" xfId="0" applyFont="1" applyFill="1" applyBorder="1"/>
    <xf numFmtId="169" fontId="9" fillId="3" borderId="3" xfId="0" applyNumberFormat="1" applyFont="1" applyFill="1" applyBorder="1"/>
    <xf numFmtId="169" fontId="6" fillId="3" borderId="3" xfId="0" applyNumberFormat="1" applyFont="1" applyFill="1" applyBorder="1"/>
    <xf numFmtId="0" fontId="0" fillId="3" borderId="2" xfId="0" applyFill="1" applyBorder="1"/>
    <xf numFmtId="0" fontId="2" fillId="3" borderId="2" xfId="0" applyFont="1" applyFill="1" applyBorder="1" applyAlignment="1">
      <alignment vertical="top" wrapText="1"/>
    </xf>
    <xf numFmtId="166" fontId="0" fillId="3" borderId="2" xfId="1" applyNumberFormat="1" applyFont="1" applyFill="1" applyBorder="1"/>
    <xf numFmtId="169" fontId="2" fillId="3" borderId="2" xfId="2" applyNumberFormat="1" applyFont="1" applyFill="1" applyBorder="1" applyAlignment="1">
      <alignment vertical="top" wrapText="1"/>
    </xf>
    <xf numFmtId="164" fontId="2" fillId="3" borderId="2" xfId="2" applyFont="1" applyFill="1" applyBorder="1" applyAlignment="1">
      <alignment vertical="top" wrapText="1"/>
    </xf>
    <xf numFmtId="164" fontId="2" fillId="3" borderId="3" xfId="2" applyFont="1" applyFill="1" applyBorder="1" applyAlignment="1">
      <alignment vertical="top" wrapText="1"/>
    </xf>
    <xf numFmtId="0" fontId="6" fillId="0" borderId="0" xfId="0" applyFont="1"/>
    <xf numFmtId="169" fontId="5" fillId="2" borderId="6" xfId="2" applyNumberFormat="1" applyFont="1" applyFill="1" applyBorder="1" applyAlignment="1">
      <alignment horizontal="center" vertical="center" wrapText="1"/>
    </xf>
    <xf numFmtId="15" fontId="5" fillId="0" borderId="0" xfId="2" applyNumberFormat="1" applyFont="1" applyFill="1" applyBorder="1" applyAlignment="1">
      <alignment horizontal="center" vertical="center"/>
    </xf>
    <xf numFmtId="169" fontId="7" fillId="0" borderId="0" xfId="2" applyNumberFormat="1" applyFont="1" applyFill="1" applyBorder="1"/>
    <xf numFmtId="0" fontId="2" fillId="0" borderId="6" xfId="0" applyFont="1" applyBorder="1" applyAlignment="1">
      <alignment horizontal="center" vertical="center" wrapText="1"/>
    </xf>
    <xf numFmtId="169" fontId="2" fillId="0" borderId="6" xfId="2" applyNumberFormat="1" applyFont="1" applyFill="1" applyBorder="1" applyAlignment="1">
      <alignment horizontal="center" vertical="center" wrapText="1"/>
    </xf>
    <xf numFmtId="164" fontId="2" fillId="0" borderId="6" xfId="2" applyFont="1" applyFill="1" applyBorder="1" applyAlignment="1">
      <alignment horizontal="center" vertical="center" wrapText="1"/>
    </xf>
    <xf numFmtId="2" fontId="0" fillId="0" borderId="0" xfId="2" applyNumberFormat="1" applyFont="1" applyFill="1" applyBorder="1"/>
    <xf numFmtId="2" fontId="0" fillId="3" borderId="2" xfId="2" applyNumberFormat="1" applyFont="1" applyFill="1" applyBorder="1"/>
    <xf numFmtId="0" fontId="5" fillId="0" borderId="0" xfId="0" applyFont="1"/>
    <xf numFmtId="10" fontId="0" fillId="0" borderId="0" xfId="0" applyNumberFormat="1"/>
    <xf numFmtId="0" fontId="2" fillId="0" borderId="0" xfId="0" applyFont="1" applyAlignment="1">
      <alignment wrapText="1"/>
    </xf>
    <xf numFmtId="37" fontId="0" fillId="0" borderId="0" xfId="1" applyNumberFormat="1" applyFont="1"/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52916</xdr:rowOff>
    </xdr:from>
    <xdr:to>
      <xdr:col>0</xdr:col>
      <xdr:colOff>2747806</xdr:colOff>
      <xdr:row>0</xdr:row>
      <xdr:rowOff>518584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26F65E-B7B1-7841-BD86-49151BBFA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916"/>
          <a:ext cx="2747806" cy="465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1FA7B-DBC9-4FE3-AD83-988D7AE8ED7F}">
  <sheetPr>
    <pageSetUpPr fitToPage="1"/>
  </sheetPr>
  <dimension ref="A1:AB37"/>
  <sheetViews>
    <sheetView tabSelected="1" zoomScaleNormal="120" workbookViewId="0"/>
  </sheetViews>
  <sheetFormatPr baseColWidth="10" defaultColWidth="8.83203125" defaultRowHeight="15"/>
  <cols>
    <col min="1" max="1" width="37.6640625" customWidth="1"/>
    <col min="2" max="2" width="14.33203125" customWidth="1"/>
    <col min="3" max="3" width="4.1640625" customWidth="1"/>
    <col min="4" max="4" width="4.6640625" bestFit="1" customWidth="1"/>
    <col min="5" max="6" width="15.1640625" customWidth="1"/>
    <col min="7" max="7" width="17.1640625" style="3" customWidth="1"/>
    <col min="8" max="8" width="18.5" style="10" customWidth="1"/>
    <col min="9" max="12" width="19.1640625" style="10" customWidth="1"/>
    <col min="13" max="14" width="16" style="10" customWidth="1"/>
    <col min="15" max="19" width="4.6640625" customWidth="1"/>
    <col min="20" max="20" width="11.5" bestFit="1" customWidth="1"/>
    <col min="21" max="21" width="13.1640625" bestFit="1" customWidth="1"/>
    <col min="22" max="22" width="11.5" bestFit="1" customWidth="1"/>
    <col min="23" max="23" width="5.1640625" bestFit="1" customWidth="1"/>
    <col min="24" max="24" width="11.5" bestFit="1" customWidth="1"/>
    <col min="25" max="25" width="14.1640625" bestFit="1" customWidth="1"/>
    <col min="26" max="26" width="8.83203125" style="15"/>
    <col min="27" max="27" width="9.83203125" bestFit="1" customWidth="1"/>
  </cols>
  <sheetData>
    <row r="1" spans="1:28" ht="47" customHeight="1" thickBot="1">
      <c r="A1" s="36"/>
      <c r="B1" s="60" t="s">
        <v>24</v>
      </c>
      <c r="H1" s="26"/>
      <c r="I1" s="26"/>
      <c r="J1" s="26"/>
      <c r="K1" s="26"/>
      <c r="L1" s="26"/>
      <c r="M1" s="61"/>
      <c r="N1" s="26"/>
    </row>
    <row r="2" spans="1:28" s="1" customFormat="1" ht="64" customHeight="1" thickBot="1">
      <c r="A2" s="27" t="s">
        <v>15</v>
      </c>
      <c r="D2" s="63" t="s">
        <v>0</v>
      </c>
      <c r="E2" s="63" t="s">
        <v>25</v>
      </c>
      <c r="F2" s="63" t="s">
        <v>26</v>
      </c>
      <c r="G2" s="64" t="s">
        <v>8</v>
      </c>
      <c r="H2" s="64" t="s">
        <v>9</v>
      </c>
      <c r="I2" s="65" t="s">
        <v>27</v>
      </c>
      <c r="J2" s="65" t="s">
        <v>28</v>
      </c>
      <c r="K2" s="65" t="s">
        <v>29</v>
      </c>
      <c r="L2" s="65" t="s">
        <v>16</v>
      </c>
      <c r="M2" s="65" t="s">
        <v>1</v>
      </c>
      <c r="N2" s="65" t="s">
        <v>11</v>
      </c>
      <c r="O2" s="63" t="s">
        <v>0</v>
      </c>
      <c r="Z2" s="16"/>
    </row>
    <row r="3" spans="1:28" ht="16" thickBot="1">
      <c r="A3" s="59" t="s">
        <v>14</v>
      </c>
      <c r="B3" s="42">
        <v>7850</v>
      </c>
      <c r="C3" s="2"/>
      <c r="D3" s="39">
        <v>1</v>
      </c>
      <c r="E3" s="17">
        <v>209000</v>
      </c>
      <c r="F3" s="17">
        <f>E3*0.3</f>
        <v>62700</v>
      </c>
      <c r="G3" s="11">
        <f>B9</f>
        <v>147264</v>
      </c>
      <c r="H3" s="11">
        <f>B9</f>
        <v>147264</v>
      </c>
      <c r="I3" s="11">
        <f>(H3-$B$9)/$B$9</f>
        <v>0</v>
      </c>
      <c r="J3" s="11">
        <f>E3</f>
        <v>209000</v>
      </c>
      <c r="K3" s="11"/>
      <c r="L3" s="11">
        <v>0</v>
      </c>
      <c r="M3" s="11">
        <f>I3</f>
        <v>0</v>
      </c>
      <c r="N3" s="40">
        <v>0</v>
      </c>
      <c r="O3" s="41">
        <v>1</v>
      </c>
      <c r="P3" s="2"/>
      <c r="Q3" s="17"/>
      <c r="R3" s="17"/>
      <c r="S3" s="17"/>
      <c r="T3" s="13"/>
      <c r="U3" s="18"/>
      <c r="Z3" s="19"/>
    </row>
    <row r="4" spans="1:28" ht="16" thickBot="1">
      <c r="A4" s="37"/>
      <c r="C4" s="2"/>
      <c r="D4" s="39">
        <f>D3+1</f>
        <v>2</v>
      </c>
      <c r="E4" s="17">
        <f>E3*1.03</f>
        <v>215270</v>
      </c>
      <c r="F4" s="17">
        <f>E4*0.3</f>
        <v>64581</v>
      </c>
      <c r="G4" s="11">
        <f t="shared" ref="G4:G32" si="0">G3*(1+$B$30)</f>
        <v>151681.92000000001</v>
      </c>
      <c r="H4" s="11">
        <f>G4*$B$26</f>
        <v>98593.248000000007</v>
      </c>
      <c r="I4" s="11">
        <f t="shared" ref="I4:I32" si="1">G4-H4</f>
        <v>53088.672000000006</v>
      </c>
      <c r="J4" s="11">
        <f>F4+H4</f>
        <v>163174.24800000002</v>
      </c>
      <c r="K4" s="66">
        <f>(E4-J4)/E4*100</f>
        <v>24.200191387559798</v>
      </c>
      <c r="L4" s="11">
        <v>0</v>
      </c>
      <c r="M4" s="11">
        <f>I4+M3</f>
        <v>53088.672000000006</v>
      </c>
      <c r="N4" s="40">
        <f t="shared" ref="N4:N32" si="2">I4/$B$3</f>
        <v>6.7628881528662426</v>
      </c>
      <c r="O4" s="41">
        <f>O3+1</f>
        <v>2</v>
      </c>
      <c r="P4" s="2"/>
      <c r="Q4" s="17"/>
      <c r="R4" s="17"/>
      <c r="S4" s="17"/>
      <c r="T4" s="13"/>
      <c r="U4" s="20"/>
      <c r="Z4" s="19"/>
      <c r="AB4" s="13"/>
    </row>
    <row r="5" spans="1:28" ht="16" thickBot="1">
      <c r="A5" s="12" t="s">
        <v>10</v>
      </c>
      <c r="B5" s="43">
        <v>1300</v>
      </c>
      <c r="C5" s="4"/>
      <c r="D5" s="39">
        <f t="shared" ref="D5:D32" si="3">D4+1</f>
        <v>3</v>
      </c>
      <c r="E5" s="17">
        <f t="shared" ref="E5:E32" si="4">E4*1.03</f>
        <v>221728.1</v>
      </c>
      <c r="F5" s="17">
        <f t="shared" ref="F5:F32" si="5">E5*0.3</f>
        <v>66518.429999999993</v>
      </c>
      <c r="G5" s="11">
        <f t="shared" si="0"/>
        <v>156232.37760000001</v>
      </c>
      <c r="H5" s="11">
        <f t="shared" ref="H5:H18" si="6">G5*$B$26</f>
        <v>101551.04544</v>
      </c>
      <c r="I5" s="11">
        <f t="shared" si="1"/>
        <v>54681.332160000005</v>
      </c>
      <c r="J5" s="11">
        <f t="shared" ref="J5:J32" si="7">F5+H5</f>
        <v>168069.47544000001</v>
      </c>
      <c r="K5" s="66">
        <f t="shared" ref="K5:K32" si="8">(E5-J5)/E5*100</f>
        <v>24.200191387559805</v>
      </c>
      <c r="L5" s="11">
        <v>0</v>
      </c>
      <c r="M5" s="11">
        <f t="shared" ref="M5:M17" si="9">I5+M4</f>
        <v>107770.00416000001</v>
      </c>
      <c r="N5" s="40">
        <f t="shared" si="2"/>
        <v>6.9657747974522302</v>
      </c>
      <c r="O5" s="41">
        <f t="shared" ref="O5:O32" si="10">O4+1</f>
        <v>3</v>
      </c>
      <c r="P5" s="2"/>
      <c r="Q5" s="17"/>
      <c r="R5" s="17"/>
      <c r="S5" s="17"/>
      <c r="T5" s="13"/>
      <c r="U5" s="20"/>
      <c r="Z5" s="19"/>
    </row>
    <row r="6" spans="1:28" ht="16">
      <c r="A6" s="70" t="s">
        <v>33</v>
      </c>
      <c r="B6" s="2">
        <f>1180</f>
        <v>1180</v>
      </c>
      <c r="C6" s="5"/>
      <c r="D6" s="39">
        <f t="shared" si="3"/>
        <v>4</v>
      </c>
      <c r="E6" s="17">
        <f t="shared" si="4"/>
        <v>228379.943</v>
      </c>
      <c r="F6" s="17">
        <f t="shared" si="5"/>
        <v>68513.982900000003</v>
      </c>
      <c r="G6" s="11">
        <f t="shared" si="0"/>
        <v>160919.34892800002</v>
      </c>
      <c r="H6" s="11">
        <f t="shared" si="6"/>
        <v>104597.57680320002</v>
      </c>
      <c r="I6" s="11">
        <f t="shared" si="1"/>
        <v>56321.772124800002</v>
      </c>
      <c r="J6" s="11">
        <f t="shared" si="7"/>
        <v>173111.55970320001</v>
      </c>
      <c r="K6" s="66">
        <f t="shared" si="8"/>
        <v>24.200191387559805</v>
      </c>
      <c r="L6" s="11">
        <v>0</v>
      </c>
      <c r="M6" s="11">
        <f t="shared" si="9"/>
        <v>164091.77628480003</v>
      </c>
      <c r="N6" s="40">
        <f t="shared" si="2"/>
        <v>7.1747480413757962</v>
      </c>
      <c r="O6" s="41">
        <f t="shared" si="10"/>
        <v>4</v>
      </c>
      <c r="P6" s="2"/>
      <c r="Q6" s="17"/>
      <c r="R6" s="17"/>
      <c r="S6" s="17"/>
      <c r="T6" s="13"/>
      <c r="Z6" s="19"/>
    </row>
    <row r="7" spans="1:28">
      <c r="A7" s="12" t="s">
        <v>32</v>
      </c>
      <c r="B7" s="71">
        <f>B5*B6</f>
        <v>1534000</v>
      </c>
      <c r="D7" s="39">
        <f t="shared" si="3"/>
        <v>5</v>
      </c>
      <c r="E7" s="17">
        <f t="shared" si="4"/>
        <v>235231.34129000001</v>
      </c>
      <c r="F7" s="17">
        <f t="shared" si="5"/>
        <v>70569.402386999995</v>
      </c>
      <c r="G7" s="11">
        <f t="shared" si="0"/>
        <v>165746.92939584004</v>
      </c>
      <c r="H7" s="11">
        <f t="shared" si="6"/>
        <v>107735.50410729603</v>
      </c>
      <c r="I7" s="11">
        <f t="shared" si="1"/>
        <v>58011.425288544007</v>
      </c>
      <c r="J7" s="11">
        <f t="shared" si="7"/>
        <v>178304.90649429604</v>
      </c>
      <c r="K7" s="66">
        <f t="shared" si="8"/>
        <v>24.200191387559798</v>
      </c>
      <c r="L7" s="11">
        <v>0</v>
      </c>
      <c r="M7" s="11">
        <f t="shared" si="9"/>
        <v>222103.20157334403</v>
      </c>
      <c r="N7" s="40">
        <f t="shared" si="2"/>
        <v>7.3899904826170708</v>
      </c>
      <c r="O7" s="41">
        <f t="shared" si="10"/>
        <v>5</v>
      </c>
      <c r="P7" s="2"/>
      <c r="Q7" s="17"/>
      <c r="R7" s="17"/>
      <c r="S7" s="17"/>
      <c r="T7" s="13"/>
      <c r="Z7" s="19"/>
    </row>
    <row r="8" spans="1:28">
      <c r="A8" s="12" t="s">
        <v>2</v>
      </c>
      <c r="B8" s="4">
        <v>9.6000000000000002E-2</v>
      </c>
      <c r="C8" s="3"/>
      <c r="D8" s="39">
        <f t="shared" si="3"/>
        <v>6</v>
      </c>
      <c r="E8" s="17">
        <f t="shared" si="4"/>
        <v>242288.28152870003</v>
      </c>
      <c r="F8" s="17">
        <f t="shared" si="5"/>
        <v>72686.484458610008</v>
      </c>
      <c r="G8" s="11">
        <f t="shared" si="0"/>
        <v>170719.33727771524</v>
      </c>
      <c r="H8" s="11">
        <f t="shared" si="6"/>
        <v>110967.56923051491</v>
      </c>
      <c r="I8" s="11">
        <f t="shared" si="1"/>
        <v>59751.768047200327</v>
      </c>
      <c r="J8" s="11">
        <f t="shared" si="7"/>
        <v>183654.05368912494</v>
      </c>
      <c r="K8" s="66">
        <f t="shared" si="8"/>
        <v>24.200191387559794</v>
      </c>
      <c r="L8" s="11">
        <v>0</v>
      </c>
      <c r="M8" s="11">
        <f t="shared" si="9"/>
        <v>281854.96962054435</v>
      </c>
      <c r="N8" s="40">
        <f t="shared" si="2"/>
        <v>7.6116901970955828</v>
      </c>
      <c r="O8" s="41">
        <f t="shared" si="10"/>
        <v>6</v>
      </c>
      <c r="P8" s="2"/>
      <c r="Q8" s="17"/>
      <c r="R8" s="17"/>
      <c r="S8" s="17"/>
      <c r="T8" s="13"/>
      <c r="Z8" s="19"/>
    </row>
    <row r="9" spans="1:28">
      <c r="A9" s="12" t="s">
        <v>5</v>
      </c>
      <c r="B9" s="5">
        <f>B5*B6*B8</f>
        <v>147264</v>
      </c>
      <c r="C9" s="3"/>
      <c r="D9" s="39">
        <f t="shared" si="3"/>
        <v>7</v>
      </c>
      <c r="E9" s="17">
        <f t="shared" si="4"/>
        <v>249556.92997456103</v>
      </c>
      <c r="F9" s="17">
        <f t="shared" si="5"/>
        <v>74867.078992368304</v>
      </c>
      <c r="G9" s="11">
        <f t="shared" si="0"/>
        <v>175840.91739604672</v>
      </c>
      <c r="H9" s="11">
        <f t="shared" si="6"/>
        <v>114296.59630743037</v>
      </c>
      <c r="I9" s="11">
        <f t="shared" si="1"/>
        <v>61544.321088616343</v>
      </c>
      <c r="J9" s="11">
        <f t="shared" si="7"/>
        <v>189163.67529979866</v>
      </c>
      <c r="K9" s="66">
        <f t="shared" si="8"/>
        <v>24.200191387559805</v>
      </c>
      <c r="L9" s="11">
        <v>0</v>
      </c>
      <c r="M9" s="11">
        <f t="shared" si="9"/>
        <v>343399.29070916068</v>
      </c>
      <c r="N9" s="40">
        <f t="shared" si="2"/>
        <v>7.8400409030084512</v>
      </c>
      <c r="O9" s="41">
        <f t="shared" si="10"/>
        <v>7</v>
      </c>
      <c r="P9" s="2"/>
      <c r="Q9" s="17"/>
      <c r="R9" s="17"/>
      <c r="S9" s="17"/>
      <c r="T9" s="13"/>
      <c r="V9" s="25">
        <f>B13/2</f>
        <v>1516450</v>
      </c>
      <c r="Z9" s="19"/>
    </row>
    <row r="10" spans="1:28">
      <c r="A10" s="37"/>
      <c r="C10" s="3"/>
      <c r="D10" s="39">
        <f t="shared" si="3"/>
        <v>8</v>
      </c>
      <c r="E10" s="17">
        <f t="shared" si="4"/>
        <v>257043.63787379788</v>
      </c>
      <c r="F10" s="17">
        <f t="shared" si="5"/>
        <v>77113.091362139356</v>
      </c>
      <c r="G10" s="11">
        <f t="shared" si="0"/>
        <v>181116.14491792812</v>
      </c>
      <c r="H10" s="11">
        <f t="shared" si="6"/>
        <v>117725.49419665328</v>
      </c>
      <c r="I10" s="11">
        <f t="shared" si="1"/>
        <v>63390.65072127484</v>
      </c>
      <c r="J10" s="11">
        <f t="shared" si="7"/>
        <v>194838.58555879263</v>
      </c>
      <c r="K10" s="66">
        <f t="shared" si="8"/>
        <v>24.200191387559805</v>
      </c>
      <c r="L10" s="11">
        <v>0</v>
      </c>
      <c r="M10" s="11">
        <f t="shared" si="9"/>
        <v>406789.94143043552</v>
      </c>
      <c r="N10" s="40">
        <f t="shared" si="2"/>
        <v>8.0752421300987063</v>
      </c>
      <c r="O10" s="41">
        <f t="shared" si="10"/>
        <v>8</v>
      </c>
      <c r="P10" s="2"/>
      <c r="Q10" s="17"/>
      <c r="R10" s="17"/>
      <c r="S10" s="17"/>
      <c r="T10" s="13"/>
      <c r="Z10" s="19"/>
    </row>
    <row r="11" spans="1:28">
      <c r="A11" s="37"/>
      <c r="C11" s="3"/>
      <c r="D11" s="39">
        <f t="shared" si="3"/>
        <v>9</v>
      </c>
      <c r="E11" s="17">
        <f t="shared" si="4"/>
        <v>264754.94701001182</v>
      </c>
      <c r="F11" s="17">
        <f t="shared" si="5"/>
        <v>79426.484103003546</v>
      </c>
      <c r="G11" s="11">
        <f t="shared" si="0"/>
        <v>186549.62926546598</v>
      </c>
      <c r="H11" s="11">
        <f t="shared" si="6"/>
        <v>121257.25902255288</v>
      </c>
      <c r="I11" s="11">
        <f t="shared" si="1"/>
        <v>65292.370242913094</v>
      </c>
      <c r="J11" s="11">
        <f t="shared" si="7"/>
        <v>200683.74312555644</v>
      </c>
      <c r="K11" s="66">
        <f t="shared" si="8"/>
        <v>24.200191387559794</v>
      </c>
      <c r="L11" s="11">
        <v>0</v>
      </c>
      <c r="M11" s="11">
        <f t="shared" si="9"/>
        <v>472082.31167334859</v>
      </c>
      <c r="N11" s="40">
        <f t="shared" si="2"/>
        <v>8.3174993940016684</v>
      </c>
      <c r="O11" s="41">
        <f t="shared" si="10"/>
        <v>9</v>
      </c>
      <c r="P11" s="2"/>
      <c r="Q11" s="17"/>
      <c r="R11" s="17"/>
      <c r="S11" s="17"/>
      <c r="T11" s="13"/>
      <c r="Z11" s="19"/>
    </row>
    <row r="12" spans="1:28">
      <c r="A12" s="12" t="s">
        <v>6</v>
      </c>
      <c r="B12" s="3">
        <v>2333</v>
      </c>
      <c r="C12" s="11"/>
      <c r="D12" s="39">
        <f t="shared" si="3"/>
        <v>10</v>
      </c>
      <c r="E12" s="17">
        <f t="shared" si="4"/>
        <v>272697.59542031219</v>
      </c>
      <c r="F12" s="17">
        <f t="shared" si="5"/>
        <v>81809.278626093655</v>
      </c>
      <c r="G12" s="11">
        <f t="shared" si="0"/>
        <v>192146.11814342995</v>
      </c>
      <c r="H12" s="11">
        <f t="shared" si="6"/>
        <v>124894.97679322948</v>
      </c>
      <c r="I12" s="11">
        <f t="shared" si="1"/>
        <v>67251.141350200473</v>
      </c>
      <c r="J12" s="11">
        <f t="shared" si="7"/>
        <v>206704.25541932313</v>
      </c>
      <c r="K12" s="66">
        <f t="shared" si="8"/>
        <v>24.200191387559798</v>
      </c>
      <c r="L12" s="11">
        <v>0</v>
      </c>
      <c r="M12" s="11">
        <f t="shared" si="9"/>
        <v>539333.45302354905</v>
      </c>
      <c r="N12" s="40">
        <f t="shared" si="2"/>
        <v>8.5670243758217168</v>
      </c>
      <c r="O12" s="41">
        <f t="shared" si="10"/>
        <v>10</v>
      </c>
      <c r="P12" s="2"/>
      <c r="Q12" s="17"/>
      <c r="R12" s="17"/>
      <c r="S12" s="17"/>
      <c r="T12" s="13"/>
      <c r="X12" s="21"/>
      <c r="Z12" s="19"/>
      <c r="AA12" s="22"/>
    </row>
    <row r="13" spans="1:28">
      <c r="A13" s="12" t="s">
        <v>7</v>
      </c>
      <c r="B13" s="3">
        <f>B12*B5</f>
        <v>3032900</v>
      </c>
      <c r="C13" s="3"/>
      <c r="D13" s="39">
        <f t="shared" si="3"/>
        <v>11</v>
      </c>
      <c r="E13" s="17">
        <f t="shared" si="4"/>
        <v>280878.52328292158</v>
      </c>
      <c r="F13" s="17">
        <f t="shared" si="5"/>
        <v>84263.556984876472</v>
      </c>
      <c r="G13" s="11">
        <f t="shared" si="0"/>
        <v>197910.50168773285</v>
      </c>
      <c r="H13" s="11">
        <f t="shared" si="6"/>
        <v>128641.82609702635</v>
      </c>
      <c r="I13" s="11">
        <f t="shared" si="1"/>
        <v>69268.675590706494</v>
      </c>
      <c r="J13" s="11">
        <f t="shared" si="7"/>
        <v>212905.38308190281</v>
      </c>
      <c r="K13" s="66">
        <f t="shared" si="8"/>
        <v>24.200191387559812</v>
      </c>
      <c r="L13" s="11">
        <v>0</v>
      </c>
      <c r="M13" s="11">
        <f t="shared" si="9"/>
        <v>608602.12861425558</v>
      </c>
      <c r="N13" s="40">
        <f t="shared" si="2"/>
        <v>8.8240351070963694</v>
      </c>
      <c r="O13" s="41">
        <f t="shared" si="10"/>
        <v>11</v>
      </c>
      <c r="P13" s="2"/>
      <c r="Q13" s="17"/>
      <c r="R13" s="17"/>
      <c r="S13" s="17"/>
      <c r="T13" s="13"/>
      <c r="Z13" s="19"/>
    </row>
    <row r="14" spans="1:28">
      <c r="A14" s="12"/>
      <c r="B14" s="3"/>
      <c r="C14" s="3"/>
      <c r="D14" s="39">
        <f t="shared" si="3"/>
        <v>12</v>
      </c>
      <c r="E14" s="17">
        <f t="shared" si="4"/>
        <v>289304.87898140925</v>
      </c>
      <c r="F14" s="17">
        <f t="shared" si="5"/>
        <v>86791.463694422768</v>
      </c>
      <c r="G14" s="11">
        <f t="shared" si="0"/>
        <v>203847.81673836484</v>
      </c>
      <c r="H14" s="11">
        <f t="shared" si="6"/>
        <v>132501.08087993716</v>
      </c>
      <c r="I14" s="11">
        <f t="shared" si="1"/>
        <v>71346.735858427681</v>
      </c>
      <c r="J14" s="11">
        <f t="shared" si="7"/>
        <v>219292.54457435993</v>
      </c>
      <c r="K14" s="66">
        <f t="shared" si="8"/>
        <v>24.200191387559805</v>
      </c>
      <c r="L14" s="11">
        <v>0</v>
      </c>
      <c r="M14" s="62">
        <f t="shared" si="9"/>
        <v>679948.86447268329</v>
      </c>
      <c r="N14" s="40">
        <f t="shared" si="2"/>
        <v>9.0887561603092593</v>
      </c>
      <c r="O14" s="41">
        <f t="shared" si="10"/>
        <v>12</v>
      </c>
      <c r="P14" s="2"/>
      <c r="Q14" s="17"/>
      <c r="R14" s="17"/>
      <c r="S14" s="17"/>
      <c r="T14" s="13"/>
      <c r="Z14" s="19"/>
    </row>
    <row r="15" spans="1:28" ht="16" thickBot="1">
      <c r="A15" s="12"/>
      <c r="B15" s="3"/>
      <c r="C15" s="3"/>
      <c r="D15" s="39">
        <f t="shared" si="3"/>
        <v>13</v>
      </c>
      <c r="E15" s="17">
        <f t="shared" si="4"/>
        <v>297984.02535085153</v>
      </c>
      <c r="F15" s="17">
        <f t="shared" si="5"/>
        <v>89395.207605255462</v>
      </c>
      <c r="G15" s="11">
        <f t="shared" si="0"/>
        <v>209963.25124051579</v>
      </c>
      <c r="H15" s="11">
        <f t="shared" si="6"/>
        <v>136476.11330633526</v>
      </c>
      <c r="I15" s="11">
        <f t="shared" si="1"/>
        <v>73487.13793418053</v>
      </c>
      <c r="J15" s="11">
        <f t="shared" si="7"/>
        <v>225871.32091159071</v>
      </c>
      <c r="K15" s="66">
        <f t="shared" si="8"/>
        <v>24.200191387559812</v>
      </c>
      <c r="L15" s="11">
        <v>0</v>
      </c>
      <c r="M15" s="11">
        <f t="shared" si="9"/>
        <v>753436.00240686384</v>
      </c>
      <c r="N15" s="40">
        <f t="shared" si="2"/>
        <v>9.3614188451185392</v>
      </c>
      <c r="O15" s="41">
        <f t="shared" si="10"/>
        <v>13</v>
      </c>
      <c r="P15" s="2"/>
      <c r="Q15" s="17"/>
      <c r="R15" s="17"/>
      <c r="S15" s="17"/>
      <c r="T15" s="13"/>
      <c r="Z15" s="19"/>
      <c r="AA15" s="23"/>
    </row>
    <row r="16" spans="1:28" ht="16" thickBot="1">
      <c r="A16" s="34" t="s">
        <v>17</v>
      </c>
      <c r="B16" s="35">
        <f>B13*0.3</f>
        <v>909870</v>
      </c>
      <c r="C16" s="3"/>
      <c r="D16" s="39">
        <f t="shared" si="3"/>
        <v>14</v>
      </c>
      <c r="E16" s="17">
        <f t="shared" si="4"/>
        <v>306923.54611137707</v>
      </c>
      <c r="F16" s="17">
        <f t="shared" si="5"/>
        <v>92077.063833413122</v>
      </c>
      <c r="G16" s="11">
        <f t="shared" si="0"/>
        <v>216262.14877773126</v>
      </c>
      <c r="H16" s="11">
        <f t="shared" si="6"/>
        <v>140570.39670552532</v>
      </c>
      <c r="I16" s="11">
        <f t="shared" si="1"/>
        <v>75691.752072205942</v>
      </c>
      <c r="J16" s="11">
        <f t="shared" si="7"/>
        <v>232647.46053893844</v>
      </c>
      <c r="K16" s="66">
        <f t="shared" si="8"/>
        <v>24.200191387559812</v>
      </c>
      <c r="L16" s="11">
        <v>0</v>
      </c>
      <c r="M16" s="11">
        <f t="shared" si="9"/>
        <v>829127.75447906973</v>
      </c>
      <c r="N16" s="40">
        <f t="shared" si="2"/>
        <v>9.642261410472095</v>
      </c>
      <c r="O16" s="41">
        <f t="shared" si="10"/>
        <v>14</v>
      </c>
      <c r="P16" s="2"/>
      <c r="Q16" s="17"/>
      <c r="R16" s="17"/>
      <c r="S16" s="17"/>
      <c r="T16" s="13"/>
      <c r="Z16" s="19"/>
      <c r="AA16" s="24"/>
    </row>
    <row r="17" spans="1:26" ht="16" thickBot="1">
      <c r="A17" s="12"/>
      <c r="B17" s="3"/>
      <c r="C17" s="3"/>
      <c r="D17" s="39">
        <f t="shared" si="3"/>
        <v>15</v>
      </c>
      <c r="E17" s="17">
        <f t="shared" si="4"/>
        <v>316131.25249471841</v>
      </c>
      <c r="F17" s="17">
        <f t="shared" si="5"/>
        <v>94839.375748415521</v>
      </c>
      <c r="G17" s="11">
        <f t="shared" si="0"/>
        <v>222750.01324106319</v>
      </c>
      <c r="H17" s="11">
        <f t="shared" si="6"/>
        <v>144787.50860669109</v>
      </c>
      <c r="I17" s="11">
        <f t="shared" si="1"/>
        <v>77962.504634372104</v>
      </c>
      <c r="J17" s="11">
        <f t="shared" si="7"/>
        <v>239626.88435510662</v>
      </c>
      <c r="K17" s="66">
        <f t="shared" si="8"/>
        <v>24.200191387559805</v>
      </c>
      <c r="L17" s="11">
        <v>0</v>
      </c>
      <c r="M17" s="11">
        <f t="shared" si="9"/>
        <v>907090.2591134418</v>
      </c>
      <c r="N17" s="40">
        <f t="shared" si="2"/>
        <v>9.9315292527862553</v>
      </c>
      <c r="O17" s="41">
        <f t="shared" si="10"/>
        <v>15</v>
      </c>
      <c r="P17" s="2"/>
      <c r="Q17" s="17"/>
      <c r="R17" s="17"/>
      <c r="S17" s="17"/>
      <c r="T17" s="13"/>
      <c r="Z17" s="19"/>
    </row>
    <row r="18" spans="1:26" ht="16" thickBot="1">
      <c r="A18" s="12"/>
      <c r="B18" s="3"/>
      <c r="C18" s="3"/>
      <c r="D18" s="44">
        <f t="shared" si="3"/>
        <v>16</v>
      </c>
      <c r="E18" s="55">
        <f t="shared" si="4"/>
        <v>325615.19006955996</v>
      </c>
      <c r="F18" s="55">
        <f t="shared" si="5"/>
        <v>97684.557020867986</v>
      </c>
      <c r="G18" s="45">
        <f t="shared" si="0"/>
        <v>229432.51363829509</v>
      </c>
      <c r="H18" s="45">
        <f t="shared" si="6"/>
        <v>149131.1338648918</v>
      </c>
      <c r="I18" s="45">
        <f t="shared" si="1"/>
        <v>80301.379773403285</v>
      </c>
      <c r="J18" s="45">
        <f t="shared" si="7"/>
        <v>246815.69088575977</v>
      </c>
      <c r="K18" s="67">
        <f t="shared" si="8"/>
        <v>24.200191387559819</v>
      </c>
      <c r="L18" s="45">
        <v>0</v>
      </c>
      <c r="M18" s="48">
        <f>I18+M17-L18</f>
        <v>987391.63888684509</v>
      </c>
      <c r="N18" s="46">
        <f t="shared" si="2"/>
        <v>10.229475130369845</v>
      </c>
      <c r="O18" s="47">
        <f t="shared" si="10"/>
        <v>16</v>
      </c>
      <c r="P18" s="2"/>
      <c r="Q18" s="17"/>
      <c r="R18" s="17"/>
      <c r="S18" s="17"/>
      <c r="T18" s="13"/>
      <c r="Z18" s="19"/>
    </row>
    <row r="19" spans="1:26">
      <c r="A19" s="12" t="s">
        <v>4</v>
      </c>
      <c r="B19" s="3">
        <f>B13-B16</f>
        <v>2123030</v>
      </c>
      <c r="C19" s="3"/>
      <c r="D19" s="39">
        <f t="shared" si="3"/>
        <v>17</v>
      </c>
      <c r="E19" s="17">
        <f t="shared" si="4"/>
        <v>335383.64577164676</v>
      </c>
      <c r="F19" s="17">
        <f t="shared" si="5"/>
        <v>100615.09373149402</v>
      </c>
      <c r="G19" s="11">
        <f t="shared" si="0"/>
        <v>236315.48904744396</v>
      </c>
      <c r="H19" s="11"/>
      <c r="I19" s="11">
        <f t="shared" si="1"/>
        <v>236315.48904744396</v>
      </c>
      <c r="J19" s="11">
        <f t="shared" si="7"/>
        <v>100615.09373149402</v>
      </c>
      <c r="K19" s="66">
        <f t="shared" si="8"/>
        <v>70</v>
      </c>
      <c r="L19" s="11">
        <f t="shared" ref="L19:L32" si="11">G19*0.07</f>
        <v>16542.084233321079</v>
      </c>
      <c r="M19" s="11">
        <f t="shared" ref="M19:M32" si="12">I19+M18-L19</f>
        <v>1207165.0437009681</v>
      </c>
      <c r="N19" s="40">
        <f t="shared" si="2"/>
        <v>30.103883955088403</v>
      </c>
      <c r="O19" s="41">
        <f t="shared" si="10"/>
        <v>17</v>
      </c>
      <c r="P19" s="2"/>
      <c r="Q19" s="17"/>
      <c r="R19" s="17"/>
      <c r="S19" s="17"/>
      <c r="T19" s="13"/>
      <c r="Z19" s="19"/>
    </row>
    <row r="20" spans="1:26">
      <c r="A20" s="12"/>
      <c r="B20" s="3"/>
      <c r="C20" s="3"/>
      <c r="D20" s="39">
        <f t="shared" si="3"/>
        <v>18</v>
      </c>
      <c r="E20" s="17">
        <f t="shared" si="4"/>
        <v>345445.15514479618</v>
      </c>
      <c r="F20" s="17">
        <f t="shared" si="5"/>
        <v>103633.54654343885</v>
      </c>
      <c r="G20" s="11">
        <f t="shared" si="0"/>
        <v>243404.9537188673</v>
      </c>
      <c r="H20" s="11"/>
      <c r="I20" s="11">
        <f t="shared" si="1"/>
        <v>243404.9537188673</v>
      </c>
      <c r="J20" s="11">
        <f t="shared" si="7"/>
        <v>103633.54654343885</v>
      </c>
      <c r="K20" s="66">
        <f t="shared" si="8"/>
        <v>70</v>
      </c>
      <c r="L20" s="11">
        <f t="shared" si="11"/>
        <v>17038.346760320714</v>
      </c>
      <c r="M20" s="11">
        <f t="shared" si="12"/>
        <v>1433531.6506595148</v>
      </c>
      <c r="N20" s="40">
        <f t="shared" si="2"/>
        <v>31.007000473741058</v>
      </c>
      <c r="O20" s="41">
        <f t="shared" si="10"/>
        <v>18</v>
      </c>
      <c r="P20" s="2"/>
      <c r="Q20" s="17"/>
      <c r="R20" s="17"/>
      <c r="S20" s="17"/>
      <c r="T20" s="13"/>
      <c r="Z20" s="19"/>
    </row>
    <row r="21" spans="1:26">
      <c r="A21" s="12"/>
      <c r="B21" s="28"/>
      <c r="C21" s="6"/>
      <c r="D21" s="39">
        <f t="shared" si="3"/>
        <v>19</v>
      </c>
      <c r="E21" s="17">
        <f t="shared" si="4"/>
        <v>355808.5097991401</v>
      </c>
      <c r="F21" s="17">
        <f t="shared" si="5"/>
        <v>106742.55293974203</v>
      </c>
      <c r="G21" s="11">
        <f t="shared" si="0"/>
        <v>250707.10233043332</v>
      </c>
      <c r="H21" s="11"/>
      <c r="I21" s="11">
        <f t="shared" si="1"/>
        <v>250707.10233043332</v>
      </c>
      <c r="J21" s="11">
        <f t="shared" si="7"/>
        <v>106742.55293974203</v>
      </c>
      <c r="K21" s="66">
        <f t="shared" si="8"/>
        <v>70</v>
      </c>
      <c r="L21" s="11">
        <f t="shared" si="11"/>
        <v>17549.497163130334</v>
      </c>
      <c r="M21" s="11">
        <f t="shared" si="12"/>
        <v>1666689.2558268178</v>
      </c>
      <c r="N21" s="40">
        <f t="shared" si="2"/>
        <v>31.937210487953291</v>
      </c>
      <c r="O21" s="41">
        <f t="shared" si="10"/>
        <v>19</v>
      </c>
      <c r="P21" s="2"/>
      <c r="Q21" s="2"/>
      <c r="R21" s="2"/>
      <c r="S21" s="2"/>
      <c r="T21" s="13"/>
    </row>
    <row r="22" spans="1:26">
      <c r="A22" s="12"/>
      <c r="B22" s="3"/>
      <c r="C22" s="6"/>
      <c r="D22" s="39">
        <f t="shared" si="3"/>
        <v>20</v>
      </c>
      <c r="E22" s="17">
        <f t="shared" si="4"/>
        <v>366482.76509311429</v>
      </c>
      <c r="F22" s="17">
        <f t="shared" si="5"/>
        <v>109944.82952793429</v>
      </c>
      <c r="G22" s="11">
        <f t="shared" si="0"/>
        <v>258228.31540034633</v>
      </c>
      <c r="H22" s="11"/>
      <c r="I22" s="11">
        <f t="shared" si="1"/>
        <v>258228.31540034633</v>
      </c>
      <c r="J22" s="11">
        <f t="shared" si="7"/>
        <v>109944.82952793429</v>
      </c>
      <c r="K22" s="66">
        <f t="shared" si="8"/>
        <v>70</v>
      </c>
      <c r="L22" s="11">
        <f t="shared" si="11"/>
        <v>18075.982078024244</v>
      </c>
      <c r="M22" s="11">
        <f t="shared" si="12"/>
        <v>1906841.5891491401</v>
      </c>
      <c r="N22" s="40">
        <f t="shared" si="2"/>
        <v>32.895326802591889</v>
      </c>
      <c r="O22" s="41">
        <f t="shared" si="10"/>
        <v>20</v>
      </c>
      <c r="P22" s="2"/>
      <c r="Q22" s="2"/>
      <c r="R22" s="2"/>
      <c r="S22" s="2"/>
      <c r="T22" s="13"/>
    </row>
    <row r="23" spans="1:26">
      <c r="A23" s="12" t="s">
        <v>3</v>
      </c>
      <c r="B23" s="3">
        <f>B19+B21</f>
        <v>2123030</v>
      </c>
      <c r="C23" s="3"/>
      <c r="D23" s="39">
        <f t="shared" si="3"/>
        <v>21</v>
      </c>
      <c r="E23" s="17">
        <f t="shared" si="4"/>
        <v>377477.24804590771</v>
      </c>
      <c r="F23" s="17">
        <f t="shared" si="5"/>
        <v>113243.17441377231</v>
      </c>
      <c r="G23" s="11">
        <f t="shared" si="0"/>
        <v>265975.16486235673</v>
      </c>
      <c r="H23" s="11"/>
      <c r="I23" s="11">
        <f t="shared" si="1"/>
        <v>265975.16486235673</v>
      </c>
      <c r="J23" s="11">
        <f t="shared" si="7"/>
        <v>113243.17441377231</v>
      </c>
      <c r="K23" s="66">
        <f t="shared" si="8"/>
        <v>70</v>
      </c>
      <c r="L23" s="11">
        <f t="shared" si="11"/>
        <v>18618.261540364972</v>
      </c>
      <c r="M23" s="11">
        <f t="shared" si="12"/>
        <v>2154198.492471132</v>
      </c>
      <c r="N23" s="40">
        <f t="shared" si="2"/>
        <v>33.882186606669649</v>
      </c>
      <c r="O23" s="41">
        <f t="shared" si="10"/>
        <v>21</v>
      </c>
      <c r="P23" s="2"/>
      <c r="Q23" s="2"/>
      <c r="R23" s="2"/>
      <c r="S23" s="2"/>
      <c r="T23" s="13"/>
    </row>
    <row r="24" spans="1:26">
      <c r="A24" s="12"/>
      <c r="B24" s="3"/>
      <c r="C24" s="7"/>
      <c r="D24" s="39">
        <f t="shared" si="3"/>
        <v>22</v>
      </c>
      <c r="E24" s="17">
        <f t="shared" si="4"/>
        <v>388801.56548728497</v>
      </c>
      <c r="F24" s="17">
        <f t="shared" si="5"/>
        <v>116640.46964618549</v>
      </c>
      <c r="G24" s="11">
        <f t="shared" si="0"/>
        <v>273954.41980822745</v>
      </c>
      <c r="H24" s="11"/>
      <c r="I24" s="11">
        <f t="shared" si="1"/>
        <v>273954.41980822745</v>
      </c>
      <c r="J24" s="11">
        <f t="shared" si="7"/>
        <v>116640.46964618549</v>
      </c>
      <c r="K24" s="66">
        <f t="shared" si="8"/>
        <v>70</v>
      </c>
      <c r="L24" s="11">
        <f t="shared" si="11"/>
        <v>19176.809386575922</v>
      </c>
      <c r="M24" s="11">
        <f t="shared" si="12"/>
        <v>2408976.1028927835</v>
      </c>
      <c r="N24" s="40">
        <f t="shared" si="2"/>
        <v>34.898652204869741</v>
      </c>
      <c r="O24" s="41">
        <f t="shared" si="10"/>
        <v>22</v>
      </c>
      <c r="P24" s="2"/>
      <c r="Q24" s="2"/>
      <c r="R24" s="2"/>
      <c r="S24" s="2"/>
      <c r="T24" s="13"/>
    </row>
    <row r="25" spans="1:26">
      <c r="A25" s="12" t="s">
        <v>12</v>
      </c>
      <c r="B25" s="6">
        <v>1</v>
      </c>
      <c r="D25" s="39">
        <f t="shared" si="3"/>
        <v>23</v>
      </c>
      <c r="E25" s="17">
        <f t="shared" si="4"/>
        <v>400465.61245190352</v>
      </c>
      <c r="F25" s="17">
        <f t="shared" si="5"/>
        <v>120139.68373557104</v>
      </c>
      <c r="G25" s="11">
        <f t="shared" si="0"/>
        <v>282173.05240247428</v>
      </c>
      <c r="H25" s="11"/>
      <c r="I25" s="11">
        <f t="shared" si="1"/>
        <v>282173.05240247428</v>
      </c>
      <c r="J25" s="11">
        <f t="shared" si="7"/>
        <v>120139.68373557104</v>
      </c>
      <c r="K25" s="66">
        <f t="shared" si="8"/>
        <v>70</v>
      </c>
      <c r="L25" s="11">
        <f t="shared" si="11"/>
        <v>19752.113668173202</v>
      </c>
      <c r="M25" s="11">
        <f t="shared" si="12"/>
        <v>2671397.0416270848</v>
      </c>
      <c r="N25" s="40">
        <f t="shared" si="2"/>
        <v>35.945611771015834</v>
      </c>
      <c r="O25" s="41">
        <f t="shared" si="10"/>
        <v>23</v>
      </c>
      <c r="P25" s="2"/>
      <c r="Q25" s="2"/>
      <c r="R25" s="2"/>
      <c r="S25" s="2"/>
      <c r="T25" s="13"/>
    </row>
    <row r="26" spans="1:26" ht="16" thickBot="1">
      <c r="A26" s="12" t="s">
        <v>18</v>
      </c>
      <c r="B26" s="6">
        <v>0.65</v>
      </c>
      <c r="D26" s="39">
        <f t="shared" si="3"/>
        <v>24</v>
      </c>
      <c r="E26" s="17">
        <f t="shared" si="4"/>
        <v>412479.58082546067</v>
      </c>
      <c r="F26" s="17">
        <f t="shared" si="5"/>
        <v>123743.87424763819</v>
      </c>
      <c r="G26" s="11">
        <f t="shared" si="0"/>
        <v>290638.24397454853</v>
      </c>
      <c r="H26" s="11"/>
      <c r="I26" s="11">
        <f t="shared" si="1"/>
        <v>290638.24397454853</v>
      </c>
      <c r="J26" s="11">
        <f t="shared" si="7"/>
        <v>123743.87424763819</v>
      </c>
      <c r="K26" s="66">
        <f t="shared" si="8"/>
        <v>70</v>
      </c>
      <c r="L26" s="11">
        <f t="shared" si="11"/>
        <v>20344.677078218399</v>
      </c>
      <c r="M26" s="11">
        <f t="shared" si="12"/>
        <v>2941690.6085234154</v>
      </c>
      <c r="N26" s="40">
        <f t="shared" si="2"/>
        <v>37.023980124146313</v>
      </c>
      <c r="O26" s="41">
        <f t="shared" si="10"/>
        <v>24</v>
      </c>
      <c r="P26" s="2"/>
      <c r="Q26" s="2"/>
      <c r="R26" s="2"/>
      <c r="S26" s="2"/>
      <c r="T26" s="13"/>
    </row>
    <row r="27" spans="1:26" ht="16" thickBot="1">
      <c r="A27" s="12" t="s">
        <v>19</v>
      </c>
      <c r="B27" s="3" t="s">
        <v>20</v>
      </c>
      <c r="D27" s="44">
        <f t="shared" si="3"/>
        <v>25</v>
      </c>
      <c r="E27" s="55">
        <f t="shared" si="4"/>
        <v>424853.96825022448</v>
      </c>
      <c r="F27" s="55">
        <f t="shared" si="5"/>
        <v>127456.19047506734</v>
      </c>
      <c r="G27" s="45">
        <f t="shared" si="0"/>
        <v>299357.39129378501</v>
      </c>
      <c r="H27" s="45"/>
      <c r="I27" s="45">
        <f t="shared" si="1"/>
        <v>299357.39129378501</v>
      </c>
      <c r="J27" s="45">
        <f t="shared" si="7"/>
        <v>127456.19047506734</v>
      </c>
      <c r="K27" s="67">
        <f t="shared" si="8"/>
        <v>70</v>
      </c>
      <c r="L27" s="45">
        <f t="shared" si="11"/>
        <v>20955.017390564954</v>
      </c>
      <c r="M27" s="48">
        <f t="shared" si="12"/>
        <v>3220092.9824266355</v>
      </c>
      <c r="N27" s="46">
        <f t="shared" si="2"/>
        <v>38.134699527870701</v>
      </c>
      <c r="O27" s="47">
        <f t="shared" si="10"/>
        <v>25</v>
      </c>
      <c r="P27" s="2"/>
      <c r="Q27" s="2"/>
      <c r="R27" s="2"/>
      <c r="S27" s="2"/>
      <c r="T27" s="13"/>
    </row>
    <row r="28" spans="1:26">
      <c r="A28" s="12"/>
      <c r="B28" s="3"/>
      <c r="D28" s="39">
        <f t="shared" si="3"/>
        <v>26</v>
      </c>
      <c r="E28" s="17">
        <f t="shared" si="4"/>
        <v>437599.58729773125</v>
      </c>
      <c r="F28" s="17">
        <f t="shared" si="5"/>
        <v>131279.87618931936</v>
      </c>
      <c r="G28" s="11">
        <f t="shared" si="0"/>
        <v>308338.11303259857</v>
      </c>
      <c r="H28" s="11"/>
      <c r="I28" s="11">
        <f t="shared" si="1"/>
        <v>308338.11303259857</v>
      </c>
      <c r="J28" s="11">
        <f t="shared" si="7"/>
        <v>131279.87618931936</v>
      </c>
      <c r="K28" s="66">
        <f t="shared" si="8"/>
        <v>70</v>
      </c>
      <c r="L28" s="11">
        <f t="shared" si="11"/>
        <v>21583.6679122819</v>
      </c>
      <c r="M28" s="11">
        <f t="shared" si="12"/>
        <v>3506847.4275469519</v>
      </c>
      <c r="N28" s="40">
        <f t="shared" si="2"/>
        <v>39.278740513706822</v>
      </c>
      <c r="O28" s="41">
        <f t="shared" si="10"/>
        <v>26</v>
      </c>
      <c r="P28" s="2"/>
      <c r="Q28" s="2"/>
      <c r="R28" s="2"/>
      <c r="S28" s="2"/>
      <c r="T28" s="13"/>
    </row>
    <row r="29" spans="1:26">
      <c r="A29" s="68" t="s">
        <v>30</v>
      </c>
      <c r="D29" s="39">
        <f t="shared" si="3"/>
        <v>27</v>
      </c>
      <c r="E29" s="17">
        <f t="shared" si="4"/>
        <v>450727.57491666323</v>
      </c>
      <c r="F29" s="17">
        <f t="shared" si="5"/>
        <v>135218.27247499896</v>
      </c>
      <c r="G29" s="11">
        <f t="shared" si="0"/>
        <v>317588.25642357656</v>
      </c>
      <c r="H29" s="11"/>
      <c r="I29" s="11">
        <f t="shared" si="1"/>
        <v>317588.25642357656</v>
      </c>
      <c r="J29" s="11">
        <f t="shared" si="7"/>
        <v>135218.27247499896</v>
      </c>
      <c r="K29" s="66">
        <f t="shared" si="8"/>
        <v>70</v>
      </c>
      <c r="L29" s="11">
        <f t="shared" si="11"/>
        <v>22231.177949650362</v>
      </c>
      <c r="M29" s="11">
        <f t="shared" si="12"/>
        <v>3802204.5060208784</v>
      </c>
      <c r="N29" s="40">
        <f t="shared" si="2"/>
        <v>40.457102729118034</v>
      </c>
      <c r="O29" s="41">
        <f t="shared" si="10"/>
        <v>27</v>
      </c>
      <c r="P29" s="2"/>
      <c r="Q29" s="2"/>
      <c r="R29" s="2"/>
      <c r="S29" s="2"/>
      <c r="T29" s="13"/>
    </row>
    <row r="30" spans="1:26" ht="16">
      <c r="A30" s="8" t="s">
        <v>13</v>
      </c>
      <c r="B30" s="22">
        <v>0.03</v>
      </c>
      <c r="D30" s="39">
        <f t="shared" si="3"/>
        <v>28</v>
      </c>
      <c r="E30" s="17">
        <f t="shared" si="4"/>
        <v>464249.40216416313</v>
      </c>
      <c r="F30" s="17">
        <f t="shared" si="5"/>
        <v>139274.82064924893</v>
      </c>
      <c r="G30" s="11">
        <f t="shared" si="0"/>
        <v>327115.90411628387</v>
      </c>
      <c r="H30" s="11"/>
      <c r="I30" s="11">
        <f t="shared" si="1"/>
        <v>327115.90411628387</v>
      </c>
      <c r="J30" s="11">
        <f t="shared" si="7"/>
        <v>139274.82064924893</v>
      </c>
      <c r="K30" s="66">
        <f t="shared" si="8"/>
        <v>70</v>
      </c>
      <c r="L30" s="11">
        <f t="shared" si="11"/>
        <v>22898.113288139873</v>
      </c>
      <c r="M30" s="11">
        <f t="shared" si="12"/>
        <v>4106422.2968490226</v>
      </c>
      <c r="N30" s="40">
        <f t="shared" si="2"/>
        <v>41.670815810991577</v>
      </c>
      <c r="O30" s="41">
        <f t="shared" si="10"/>
        <v>28</v>
      </c>
      <c r="P30" s="2"/>
      <c r="Q30" s="2"/>
      <c r="R30" s="2"/>
      <c r="S30" s="2"/>
      <c r="T30" s="13"/>
    </row>
    <row r="31" spans="1:26" ht="16" thickBot="1">
      <c r="A31" s="12" t="s">
        <v>31</v>
      </c>
      <c r="B31" s="69">
        <v>2.0000000000000001E-4</v>
      </c>
      <c r="D31" s="39">
        <f t="shared" si="3"/>
        <v>29</v>
      </c>
      <c r="E31" s="17">
        <f t="shared" si="4"/>
        <v>478176.88422908803</v>
      </c>
      <c r="F31" s="17">
        <f t="shared" si="5"/>
        <v>143453.06526872641</v>
      </c>
      <c r="G31" s="11">
        <f t="shared" si="0"/>
        <v>336929.38123977237</v>
      </c>
      <c r="H31" s="11"/>
      <c r="I31" s="11">
        <f t="shared" si="1"/>
        <v>336929.38123977237</v>
      </c>
      <c r="J31" s="11">
        <f t="shared" si="7"/>
        <v>143453.06526872641</v>
      </c>
      <c r="K31" s="66">
        <f t="shared" si="8"/>
        <v>70</v>
      </c>
      <c r="L31" s="11">
        <f t="shared" si="11"/>
        <v>23585.056686784068</v>
      </c>
      <c r="M31" s="11">
        <f t="shared" si="12"/>
        <v>4419766.6214020113</v>
      </c>
      <c r="N31" s="40">
        <f t="shared" si="2"/>
        <v>42.920940285321322</v>
      </c>
      <c r="O31" s="41">
        <f t="shared" si="10"/>
        <v>29</v>
      </c>
      <c r="P31" s="2"/>
      <c r="Q31" s="2"/>
      <c r="R31" s="2"/>
      <c r="S31" s="2"/>
      <c r="T31" s="13"/>
    </row>
    <row r="32" spans="1:26" ht="16" thickBot="1">
      <c r="D32" s="44">
        <f t="shared" si="3"/>
        <v>30</v>
      </c>
      <c r="E32" s="55">
        <f t="shared" si="4"/>
        <v>492522.19075596071</v>
      </c>
      <c r="F32" s="55">
        <f t="shared" si="5"/>
        <v>147756.6572267882</v>
      </c>
      <c r="G32" s="45">
        <f t="shared" si="0"/>
        <v>347037.26267696556</v>
      </c>
      <c r="H32" s="45"/>
      <c r="I32" s="45">
        <f t="shared" si="1"/>
        <v>347037.26267696556</v>
      </c>
      <c r="J32" s="45">
        <f t="shared" si="7"/>
        <v>147756.6572267882</v>
      </c>
      <c r="K32" s="67">
        <f t="shared" si="8"/>
        <v>70</v>
      </c>
      <c r="L32" s="45">
        <f t="shared" si="11"/>
        <v>24292.60838738759</v>
      </c>
      <c r="M32" s="45">
        <f t="shared" si="12"/>
        <v>4742511.2756915893</v>
      </c>
      <c r="N32" s="46">
        <f t="shared" si="2"/>
        <v>44.208568493880961</v>
      </c>
      <c r="O32" s="47">
        <f t="shared" si="10"/>
        <v>30</v>
      </c>
      <c r="P32" s="2"/>
      <c r="Q32" s="2"/>
      <c r="R32" s="2"/>
      <c r="S32" s="2"/>
      <c r="T32" s="13"/>
    </row>
    <row r="33" spans="1:20" ht="16" thickBot="1">
      <c r="A33" s="32"/>
      <c r="B33" s="33"/>
      <c r="C33" s="33"/>
      <c r="D33" s="30"/>
      <c r="E33" s="30"/>
      <c r="F33" s="30"/>
      <c r="G33" s="30"/>
      <c r="H33" s="38"/>
      <c r="I33" s="30"/>
      <c r="J33" s="30"/>
      <c r="K33" s="30"/>
      <c r="L33" s="29"/>
      <c r="M33" s="31"/>
      <c r="O33" s="2"/>
      <c r="P33" s="2"/>
      <c r="Q33" s="2"/>
      <c r="R33" s="2"/>
      <c r="S33" s="2"/>
      <c r="T33" s="13"/>
    </row>
    <row r="34" spans="1:20" ht="16" thickBot="1">
      <c r="A34" s="49" t="s">
        <v>21</v>
      </c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1">
        <f>M18</f>
        <v>987391.63888684509</v>
      </c>
      <c r="O34" s="2"/>
      <c r="P34" s="2"/>
      <c r="Q34" s="2"/>
      <c r="R34" s="2"/>
      <c r="S34" s="2"/>
      <c r="T34" s="13"/>
    </row>
    <row r="35" spans="1:20" ht="16" thickBot="1">
      <c r="A35" s="49" t="s">
        <v>22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2">
        <f>M27</f>
        <v>3220092.9824266355</v>
      </c>
      <c r="O35" s="2"/>
      <c r="P35" s="2"/>
      <c r="Q35" s="2"/>
      <c r="R35" s="2"/>
      <c r="S35" s="2"/>
      <c r="T35" s="13"/>
    </row>
    <row r="36" spans="1:20" ht="16" thickBot="1">
      <c r="A36" s="49" t="s">
        <v>23</v>
      </c>
      <c r="B36" s="53"/>
      <c r="C36" s="54"/>
      <c r="D36" s="55"/>
      <c r="E36" s="55"/>
      <c r="F36" s="55"/>
      <c r="G36" s="56"/>
      <c r="H36" s="57"/>
      <c r="I36" s="57"/>
      <c r="J36" s="57"/>
      <c r="K36" s="57"/>
      <c r="L36" s="57"/>
      <c r="M36" s="58">
        <f>M32</f>
        <v>4742511.2756915893</v>
      </c>
      <c r="N36" s="9"/>
      <c r="O36" s="2"/>
      <c r="P36" s="2"/>
      <c r="Q36" s="2"/>
      <c r="R36" s="2"/>
      <c r="S36" s="2"/>
    </row>
    <row r="37" spans="1:20" ht="30" customHeight="1" thickBot="1">
      <c r="A37" s="72" t="s">
        <v>34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4"/>
      <c r="O37" s="14"/>
      <c r="P37" s="14"/>
      <c r="Q37" s="14"/>
      <c r="R37" s="14"/>
      <c r="S37" s="14"/>
    </row>
  </sheetData>
  <mergeCells count="1">
    <mergeCell ref="A37:N37"/>
  </mergeCells>
  <pageMargins left="0.7" right="0.7" top="0.75" bottom="0.75" header="0.3" footer="0.3"/>
  <pageSetup scale="87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Marc Blain</vt:lpstr>
      <vt:lpstr>'Marc Blain'!Print_Area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Suneet Tuli</dc:creator>
  <cp:lastModifiedBy>Microsoft Office User</cp:lastModifiedBy>
  <cp:lastPrinted>2025-10-08T02:13:29Z</cp:lastPrinted>
  <dcterms:created xsi:type="dcterms:W3CDTF">2025-08-18T14:55:50Z</dcterms:created>
  <dcterms:modified xsi:type="dcterms:W3CDTF">2025-10-29T19:12:47Z</dcterms:modified>
</cp:coreProperties>
</file>