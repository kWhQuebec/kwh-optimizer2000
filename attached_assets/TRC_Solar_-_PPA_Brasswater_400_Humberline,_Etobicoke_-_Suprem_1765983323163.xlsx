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marksegall/Downloads/"/>
    </mc:Choice>
  </mc:AlternateContent>
  <xr:revisionPtr revIDLastSave="0" documentId="8_{0B2CDE38-2F53-104A-956D-18FFABDAA6BE}" xr6:coauthVersionLast="47" xr6:coauthVersionMax="47" xr10:uidLastSave="{00000000-0000-0000-0000-000000000000}"/>
  <bookViews>
    <workbookView xWindow="0" yWindow="680" windowWidth="28340" windowHeight="15960" xr2:uid="{CC7FAE64-6E4C-4E79-AA8C-B31133EC0390}"/>
  </bookViews>
  <sheets>
    <sheet name="400 Humberline-ITC" sheetId="2" r:id="rId1"/>
    <sheet name="400 Humberline-ITC &amp; IESO" sheetId="3" r:id="rId2"/>
    <sheet name="400 Humberline Cash Back" sheetId="4" r:id="rId3"/>
  </sheets>
  <definedNames>
    <definedName name="_xlnm.Print_Area" localSheetId="0">'400 Humberline-ITC'!$A$1:$L$35</definedName>
    <definedName name="_xlnm.Print_Area" localSheetId="1">'400 Humberline-ITC &amp; IESO'!$A$1:$L$35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32" i="2" l="1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B15" i="4"/>
  <c r="B16" i="4" s="1"/>
  <c r="B13" i="4"/>
  <c r="B31" i="4" s="1"/>
  <c r="B6" i="4"/>
  <c r="B9" i="4" s="1"/>
  <c r="N4" i="4"/>
  <c r="N5" i="4" s="1"/>
  <c r="N6" i="4" s="1"/>
  <c r="N7" i="4" s="1"/>
  <c r="N8" i="4" s="1"/>
  <c r="N9" i="4" s="1"/>
  <c r="N10" i="4" s="1"/>
  <c r="N11" i="4" s="1"/>
  <c r="N12" i="4" s="1"/>
  <c r="N13" i="4" s="1"/>
  <c r="N14" i="4" s="1"/>
  <c r="N15" i="4" s="1"/>
  <c r="N16" i="4" s="1"/>
  <c r="N17" i="4" s="1"/>
  <c r="N18" i="4" s="1"/>
  <c r="N19" i="4" s="1"/>
  <c r="N20" i="4" s="1"/>
  <c r="N21" i="4" s="1"/>
  <c r="N22" i="4" s="1"/>
  <c r="N23" i="4" s="1"/>
  <c r="N24" i="4" s="1"/>
  <c r="N25" i="4" s="1"/>
  <c r="N26" i="4" s="1"/>
  <c r="N27" i="4" s="1"/>
  <c r="N28" i="4" s="1"/>
  <c r="N29" i="4" s="1"/>
  <c r="N30" i="4" s="1"/>
  <c r="N31" i="4" s="1"/>
  <c r="E4" i="4"/>
  <c r="E5" i="4" s="1"/>
  <c r="D4" i="4"/>
  <c r="D5" i="4" s="1"/>
  <c r="D6" i="4" s="1"/>
  <c r="D7" i="4" s="1"/>
  <c r="D8" i="4" s="1"/>
  <c r="D9" i="4" s="1"/>
  <c r="D10" i="4" s="1"/>
  <c r="D11" i="4" s="1"/>
  <c r="D12" i="4" s="1"/>
  <c r="D13" i="4" s="1"/>
  <c r="D14" i="4" s="1"/>
  <c r="D15" i="4" s="1"/>
  <c r="D16" i="4" s="1"/>
  <c r="D17" i="4" s="1"/>
  <c r="D18" i="4" s="1"/>
  <c r="D19" i="4" s="1"/>
  <c r="D20" i="4" s="1"/>
  <c r="D21" i="4" s="1"/>
  <c r="D22" i="4" s="1"/>
  <c r="D23" i="4" s="1"/>
  <c r="D24" i="4" s="1"/>
  <c r="D25" i="4" s="1"/>
  <c r="D26" i="4" s="1"/>
  <c r="D27" i="4" s="1"/>
  <c r="D28" i="4" s="1"/>
  <c r="D29" i="4" s="1"/>
  <c r="D30" i="4" s="1"/>
  <c r="D31" i="4" s="1"/>
  <c r="I3" i="4"/>
  <c r="B15" i="3"/>
  <c r="B13" i="3"/>
  <c r="U9" i="3" s="1"/>
  <c r="B6" i="3"/>
  <c r="B9" i="3" s="1"/>
  <c r="H3" i="3" s="1"/>
  <c r="J3" i="3" s="1"/>
  <c r="K3" i="3" s="1"/>
  <c r="N4" i="3"/>
  <c r="N5" i="3" s="1"/>
  <c r="N6" i="3" s="1"/>
  <c r="N7" i="3" s="1"/>
  <c r="N8" i="3" s="1"/>
  <c r="N9" i="3" s="1"/>
  <c r="N10" i="3" s="1"/>
  <c r="N11" i="3" s="1"/>
  <c r="N12" i="3" s="1"/>
  <c r="N13" i="3" s="1"/>
  <c r="N14" i="3" s="1"/>
  <c r="N15" i="3" s="1"/>
  <c r="N16" i="3" s="1"/>
  <c r="N17" i="3" s="1"/>
  <c r="N18" i="3" s="1"/>
  <c r="N19" i="3" s="1"/>
  <c r="N20" i="3" s="1"/>
  <c r="N21" i="3" s="1"/>
  <c r="N22" i="3" s="1"/>
  <c r="N23" i="3" s="1"/>
  <c r="N24" i="3" s="1"/>
  <c r="N25" i="3" s="1"/>
  <c r="N26" i="3" s="1"/>
  <c r="N27" i="3" s="1"/>
  <c r="N28" i="3" s="1"/>
  <c r="N29" i="3" s="1"/>
  <c r="N30" i="3" s="1"/>
  <c r="N31" i="3" s="1"/>
  <c r="E4" i="3"/>
  <c r="D4" i="3"/>
  <c r="D5" i="3" s="1"/>
  <c r="D6" i="3" s="1"/>
  <c r="D7" i="3" s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I3" i="3"/>
  <c r="I3" i="2"/>
  <c r="B6" i="2"/>
  <c r="B9" i="2" s="1"/>
  <c r="E4" i="2"/>
  <c r="E5" i="2" s="1"/>
  <c r="E6" i="2" s="1"/>
  <c r="E7" i="2" s="1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U9" i="4" l="1"/>
  <c r="B16" i="3"/>
  <c r="H3" i="4"/>
  <c r="J3" i="4" s="1"/>
  <c r="K3" i="4" s="1"/>
  <c r="G3" i="4"/>
  <c r="E6" i="4"/>
  <c r="G3" i="3"/>
  <c r="E5" i="3"/>
  <c r="E32" i="2"/>
  <c r="E7" i="4" l="1"/>
  <c r="G4" i="4"/>
  <c r="F3" i="4"/>
  <c r="E6" i="3"/>
  <c r="G4" i="3"/>
  <c r="F3" i="3"/>
  <c r="B13" i="2"/>
  <c r="B16" i="2" s="1"/>
  <c r="H3" i="2"/>
  <c r="N4" i="2"/>
  <c r="N5" i="2" s="1"/>
  <c r="N6" i="2" s="1"/>
  <c r="N7" i="2" s="1"/>
  <c r="N8" i="2" s="1"/>
  <c r="N9" i="2" s="1"/>
  <c r="N10" i="2" s="1"/>
  <c r="N11" i="2" s="1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D4" i="2"/>
  <c r="D5" i="2" s="1"/>
  <c r="D6" i="2" s="1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G5" i="4" l="1"/>
  <c r="H4" i="4"/>
  <c r="J4" i="4" s="1"/>
  <c r="M4" i="4" s="1"/>
  <c r="F4" i="4"/>
  <c r="E8" i="4"/>
  <c r="H4" i="3"/>
  <c r="J4" i="3" s="1"/>
  <c r="G5" i="3"/>
  <c r="F4" i="3"/>
  <c r="E7" i="3"/>
  <c r="J3" i="2"/>
  <c r="U9" i="2"/>
  <c r="G3" i="2"/>
  <c r="F3" i="2" s="1"/>
  <c r="I4" i="4" l="1"/>
  <c r="K4" i="4"/>
  <c r="L4" i="4"/>
  <c r="E9" i="4"/>
  <c r="H5" i="4"/>
  <c r="J5" i="4" s="1"/>
  <c r="M5" i="4" s="1"/>
  <c r="G6" i="4"/>
  <c r="F5" i="4"/>
  <c r="I4" i="3"/>
  <c r="K4" i="3"/>
  <c r="L4" i="3"/>
  <c r="E8" i="3"/>
  <c r="H5" i="3"/>
  <c r="J5" i="3" s="1"/>
  <c r="G6" i="3"/>
  <c r="F5" i="3"/>
  <c r="K3" i="2"/>
  <c r="G4" i="2"/>
  <c r="I5" i="4" l="1"/>
  <c r="K5" i="4"/>
  <c r="L5" i="4"/>
  <c r="G7" i="4"/>
  <c r="H6" i="4"/>
  <c r="J6" i="4" s="1"/>
  <c r="M6" i="4" s="1"/>
  <c r="F6" i="4"/>
  <c r="E10" i="4"/>
  <c r="I5" i="3"/>
  <c r="L5" i="3"/>
  <c r="K5" i="3"/>
  <c r="G7" i="3"/>
  <c r="H6" i="3"/>
  <c r="J6" i="3" s="1"/>
  <c r="F6" i="3"/>
  <c r="E9" i="3"/>
  <c r="F4" i="2"/>
  <c r="H4" i="2"/>
  <c r="G5" i="2"/>
  <c r="F5" i="2" s="1"/>
  <c r="I4" i="2" l="1"/>
  <c r="I6" i="3"/>
  <c r="I6" i="4"/>
  <c r="L6" i="4"/>
  <c r="K6" i="4"/>
  <c r="E11" i="4"/>
  <c r="G8" i="4"/>
  <c r="H7" i="4"/>
  <c r="J7" i="4" s="1"/>
  <c r="M7" i="4" s="1"/>
  <c r="F7" i="4"/>
  <c r="J4" i="2"/>
  <c r="L6" i="3"/>
  <c r="K6" i="3"/>
  <c r="E10" i="3"/>
  <c r="H7" i="3"/>
  <c r="J7" i="3" s="1"/>
  <c r="G8" i="3"/>
  <c r="F7" i="3"/>
  <c r="H5" i="2"/>
  <c r="I5" i="2" s="1"/>
  <c r="G6" i="2"/>
  <c r="F6" i="2" s="1"/>
  <c r="K4" i="2" l="1"/>
  <c r="M4" i="2"/>
  <c r="L4" i="2"/>
  <c r="I7" i="4"/>
  <c r="L7" i="4"/>
  <c r="K7" i="4"/>
  <c r="B32" i="4" s="1"/>
  <c r="G9" i="4"/>
  <c r="H8" i="4"/>
  <c r="J8" i="4" s="1"/>
  <c r="M8" i="4" s="1"/>
  <c r="F8" i="4"/>
  <c r="E12" i="4"/>
  <c r="L7" i="3"/>
  <c r="K7" i="3"/>
  <c r="B32" i="3" s="1"/>
  <c r="I7" i="3"/>
  <c r="E11" i="3"/>
  <c r="G9" i="3"/>
  <c r="H8" i="3"/>
  <c r="J8" i="3" s="1"/>
  <c r="F8" i="3"/>
  <c r="J5" i="2"/>
  <c r="H6" i="2"/>
  <c r="I6" i="2" s="1"/>
  <c r="G7" i="2"/>
  <c r="F7" i="2" s="1"/>
  <c r="I8" i="4" l="1"/>
  <c r="L5" i="2"/>
  <c r="M5" i="2"/>
  <c r="L8" i="4"/>
  <c r="K8" i="4"/>
  <c r="E13" i="4"/>
  <c r="G10" i="4"/>
  <c r="H9" i="4"/>
  <c r="J9" i="4" s="1"/>
  <c r="M9" i="4" s="1"/>
  <c r="F9" i="4"/>
  <c r="J6" i="2"/>
  <c r="K5" i="2"/>
  <c r="L8" i="3"/>
  <c r="K8" i="3"/>
  <c r="I8" i="3"/>
  <c r="G10" i="3"/>
  <c r="H9" i="3"/>
  <c r="J9" i="3" s="1"/>
  <c r="F9" i="3"/>
  <c r="E12" i="3"/>
  <c r="H7" i="2"/>
  <c r="I7" i="2" s="1"/>
  <c r="G8" i="2"/>
  <c r="F8" i="2" s="1"/>
  <c r="L6" i="2" l="1"/>
  <c r="M6" i="2"/>
  <c r="K6" i="2"/>
  <c r="I9" i="4"/>
  <c r="K9" i="4"/>
  <c r="L9" i="4"/>
  <c r="E14" i="4"/>
  <c r="H10" i="4"/>
  <c r="J10" i="4" s="1"/>
  <c r="M10" i="4" s="1"/>
  <c r="G11" i="4"/>
  <c r="F10" i="4"/>
  <c r="J7" i="2"/>
  <c r="L9" i="3"/>
  <c r="K9" i="3"/>
  <c r="H10" i="3"/>
  <c r="J10" i="3" s="1"/>
  <c r="G11" i="3"/>
  <c r="F10" i="3"/>
  <c r="E13" i="3"/>
  <c r="I9" i="3"/>
  <c r="H8" i="2"/>
  <c r="I8" i="2" s="1"/>
  <c r="G9" i="2"/>
  <c r="F9" i="2" s="1"/>
  <c r="L7" i="2" l="1"/>
  <c r="M7" i="2"/>
  <c r="K7" i="2"/>
  <c r="I10" i="4"/>
  <c r="K10" i="4"/>
  <c r="L10" i="4"/>
  <c r="H11" i="4"/>
  <c r="J11" i="4" s="1"/>
  <c r="M11" i="4" s="1"/>
  <c r="G12" i="4"/>
  <c r="F11" i="4"/>
  <c r="E15" i="4"/>
  <c r="L10" i="3"/>
  <c r="K10" i="3"/>
  <c r="E14" i="3"/>
  <c r="I10" i="3"/>
  <c r="G12" i="3"/>
  <c r="H11" i="3"/>
  <c r="J11" i="3" s="1"/>
  <c r="F11" i="3"/>
  <c r="J8" i="2"/>
  <c r="H9" i="2"/>
  <c r="I9" i="2" s="1"/>
  <c r="G10" i="2"/>
  <c r="F10" i="2" s="1"/>
  <c r="L8" i="2" l="1"/>
  <c r="M8" i="2"/>
  <c r="I11" i="4"/>
  <c r="L11" i="4"/>
  <c r="K11" i="4"/>
  <c r="E16" i="4"/>
  <c r="G13" i="4"/>
  <c r="H12" i="4"/>
  <c r="J12" i="4" s="1"/>
  <c r="M12" i="4" s="1"/>
  <c r="F12" i="4"/>
  <c r="K8" i="2"/>
  <c r="I11" i="3"/>
  <c r="K11" i="3"/>
  <c r="L11" i="3"/>
  <c r="E15" i="3"/>
  <c r="H12" i="3"/>
  <c r="G13" i="3"/>
  <c r="J12" i="3"/>
  <c r="F12" i="3"/>
  <c r="I12" i="3" s="1"/>
  <c r="J9" i="2"/>
  <c r="H10" i="2"/>
  <c r="I10" i="2" s="1"/>
  <c r="G11" i="2"/>
  <c r="F11" i="2" s="1"/>
  <c r="I12" i="4" l="1"/>
  <c r="L9" i="2"/>
  <c r="M9" i="2"/>
  <c r="L12" i="4"/>
  <c r="K12" i="4"/>
  <c r="H13" i="4"/>
  <c r="J13" i="4" s="1"/>
  <c r="M13" i="4" s="1"/>
  <c r="G14" i="4"/>
  <c r="F13" i="4"/>
  <c r="E17" i="4"/>
  <c r="K9" i="2"/>
  <c r="K12" i="3"/>
  <c r="L12" i="3"/>
  <c r="H13" i="3"/>
  <c r="J13" i="3" s="1"/>
  <c r="G14" i="3"/>
  <c r="F13" i="3"/>
  <c r="E16" i="3"/>
  <c r="J10" i="2"/>
  <c r="H11" i="2"/>
  <c r="I11" i="2" s="1"/>
  <c r="G12" i="2"/>
  <c r="F12" i="2" s="1"/>
  <c r="I13" i="4" l="1"/>
  <c r="L10" i="2"/>
  <c r="M10" i="2"/>
  <c r="E18" i="4"/>
  <c r="L13" i="4"/>
  <c r="K13" i="4"/>
  <c r="G15" i="4"/>
  <c r="H14" i="4"/>
  <c r="J14" i="4" s="1"/>
  <c r="M14" i="4" s="1"/>
  <c r="F14" i="4"/>
  <c r="I13" i="3"/>
  <c r="L13" i="3"/>
  <c r="K13" i="3"/>
  <c r="E17" i="3"/>
  <c r="G15" i="3"/>
  <c r="H14" i="3"/>
  <c r="J14" i="3" s="1"/>
  <c r="F14" i="3"/>
  <c r="J11" i="2"/>
  <c r="K10" i="2"/>
  <c r="H12" i="2"/>
  <c r="I12" i="2" s="1"/>
  <c r="G13" i="2"/>
  <c r="F13" i="2" s="1"/>
  <c r="L11" i="2" l="1"/>
  <c r="M11" i="2"/>
  <c r="I14" i="4"/>
  <c r="L14" i="4"/>
  <c r="K14" i="4"/>
  <c r="G16" i="4"/>
  <c r="H15" i="4"/>
  <c r="J15" i="4" s="1"/>
  <c r="M15" i="4" s="1"/>
  <c r="F15" i="4"/>
  <c r="E19" i="4"/>
  <c r="I14" i="3"/>
  <c r="K14" i="3"/>
  <c r="L14" i="3"/>
  <c r="H15" i="3"/>
  <c r="J15" i="3" s="1"/>
  <c r="G16" i="3"/>
  <c r="F15" i="3"/>
  <c r="I15" i="3" s="1"/>
  <c r="E18" i="3"/>
  <c r="K11" i="2"/>
  <c r="J12" i="2"/>
  <c r="H13" i="2"/>
  <c r="I13" i="2" s="1"/>
  <c r="G14" i="2"/>
  <c r="I15" i="4" l="1"/>
  <c r="L12" i="2"/>
  <c r="M12" i="2"/>
  <c r="E20" i="4"/>
  <c r="L15" i="4"/>
  <c r="K15" i="4"/>
  <c r="G17" i="4"/>
  <c r="H16" i="4"/>
  <c r="J16" i="4" s="1"/>
  <c r="M16" i="4" s="1"/>
  <c r="F16" i="4"/>
  <c r="E19" i="3"/>
  <c r="L15" i="3"/>
  <c r="K15" i="3"/>
  <c r="H16" i="3"/>
  <c r="J16" i="3" s="1"/>
  <c r="G17" i="3"/>
  <c r="F16" i="3"/>
  <c r="G15" i="2"/>
  <c r="F15" i="2" s="1"/>
  <c r="F14" i="2"/>
  <c r="K12" i="2"/>
  <c r="J13" i="2"/>
  <c r="H14" i="2"/>
  <c r="L13" i="2" l="1"/>
  <c r="M13" i="2"/>
  <c r="I16" i="4"/>
  <c r="K16" i="4"/>
  <c r="L16" i="4"/>
  <c r="G18" i="4"/>
  <c r="H17" i="4"/>
  <c r="J17" i="4" s="1"/>
  <c r="M17" i="4" s="1"/>
  <c r="F17" i="4"/>
  <c r="I17" i="4" s="1"/>
  <c r="E21" i="4"/>
  <c r="I14" i="2"/>
  <c r="I16" i="3"/>
  <c r="L16" i="3"/>
  <c r="K16" i="3"/>
  <c r="G18" i="3"/>
  <c r="H17" i="3"/>
  <c r="J17" i="3" s="1"/>
  <c r="F17" i="3"/>
  <c r="E20" i="3"/>
  <c r="G16" i="2"/>
  <c r="F16" i="2" s="1"/>
  <c r="H15" i="2"/>
  <c r="I15" i="2" s="1"/>
  <c r="K13" i="2"/>
  <c r="J14" i="2"/>
  <c r="L14" i="2" l="1"/>
  <c r="M14" i="2"/>
  <c r="K17" i="4"/>
  <c r="L17" i="4"/>
  <c r="E22" i="4"/>
  <c r="G19" i="4"/>
  <c r="H19" i="4" s="1"/>
  <c r="H18" i="4"/>
  <c r="J18" i="4" s="1"/>
  <c r="M18" i="4" s="1"/>
  <c r="F18" i="4"/>
  <c r="G17" i="2"/>
  <c r="F17" i="2" s="1"/>
  <c r="H16" i="2"/>
  <c r="I16" i="2" s="1"/>
  <c r="J15" i="2"/>
  <c r="I17" i="3"/>
  <c r="K17" i="3"/>
  <c r="L17" i="3"/>
  <c r="E21" i="3"/>
  <c r="H18" i="3"/>
  <c r="J18" i="3" s="1"/>
  <c r="G19" i="3"/>
  <c r="H19" i="3" s="1"/>
  <c r="F18" i="3"/>
  <c r="K14" i="2"/>
  <c r="L15" i="2" l="1"/>
  <c r="M15" i="2"/>
  <c r="H17" i="2"/>
  <c r="I17" i="2" s="1"/>
  <c r="J16" i="2"/>
  <c r="G18" i="2"/>
  <c r="F18" i="2" s="1"/>
  <c r="I18" i="4"/>
  <c r="K18" i="4"/>
  <c r="L18" i="4"/>
  <c r="G20" i="4"/>
  <c r="H20" i="4" s="1"/>
  <c r="J19" i="4"/>
  <c r="M19" i="4" s="1"/>
  <c r="F19" i="4"/>
  <c r="I19" i="4" s="1"/>
  <c r="E23" i="4"/>
  <c r="K15" i="2"/>
  <c r="K16" i="2" s="1"/>
  <c r="I18" i="3"/>
  <c r="K18" i="3"/>
  <c r="L18" i="3"/>
  <c r="G20" i="3"/>
  <c r="H20" i="3" s="1"/>
  <c r="J19" i="3"/>
  <c r="F19" i="3"/>
  <c r="I19" i="3" s="1"/>
  <c r="E22" i="3"/>
  <c r="H18" i="2"/>
  <c r="I18" i="2" s="1"/>
  <c r="L16" i="2" l="1"/>
  <c r="M16" i="2"/>
  <c r="J17" i="2"/>
  <c r="J18" i="2"/>
  <c r="M18" i="2" s="1"/>
  <c r="G19" i="2"/>
  <c r="F19" i="2" s="1"/>
  <c r="I19" i="2" s="1"/>
  <c r="E24" i="4"/>
  <c r="L19" i="4"/>
  <c r="K19" i="4"/>
  <c r="G21" i="4"/>
  <c r="H21" i="4" s="1"/>
  <c r="J20" i="4"/>
  <c r="M20" i="4" s="1"/>
  <c r="F20" i="4"/>
  <c r="I20" i="4" s="1"/>
  <c r="L19" i="3"/>
  <c r="K19" i="3"/>
  <c r="E23" i="3"/>
  <c r="G21" i="3"/>
  <c r="H21" i="3" s="1"/>
  <c r="J20" i="3"/>
  <c r="F20" i="3"/>
  <c r="I20" i="3" s="1"/>
  <c r="G20" i="2" l="1"/>
  <c r="L17" i="2"/>
  <c r="M17" i="2"/>
  <c r="L18" i="2"/>
  <c r="K17" i="2"/>
  <c r="K18" i="2" s="1"/>
  <c r="J21" i="4"/>
  <c r="M21" i="4" s="1"/>
  <c r="G22" i="4"/>
  <c r="H22" i="4" s="1"/>
  <c r="F21" i="4"/>
  <c r="I21" i="4" s="1"/>
  <c r="L20" i="4"/>
  <c r="K20" i="4"/>
  <c r="E25" i="4"/>
  <c r="F20" i="2"/>
  <c r="I20" i="2" s="1"/>
  <c r="L20" i="3"/>
  <c r="K20" i="3"/>
  <c r="J21" i="3"/>
  <c r="G22" i="3"/>
  <c r="H22" i="3" s="1"/>
  <c r="F21" i="3"/>
  <c r="I21" i="3" s="1"/>
  <c r="E24" i="3"/>
  <c r="J19" i="2"/>
  <c r="M19" i="2" s="1"/>
  <c r="G21" i="2"/>
  <c r="K19" i="2" l="1"/>
  <c r="E26" i="4"/>
  <c r="G23" i="4"/>
  <c r="H23" i="4" s="1"/>
  <c r="J22" i="4"/>
  <c r="M22" i="4" s="1"/>
  <c r="F22" i="4"/>
  <c r="I22" i="4" s="1"/>
  <c r="L21" i="4"/>
  <c r="K21" i="4"/>
  <c r="F21" i="2"/>
  <c r="I21" i="2" s="1"/>
  <c r="L21" i="3"/>
  <c r="K21" i="3"/>
  <c r="E25" i="3"/>
  <c r="G23" i="3"/>
  <c r="H23" i="3" s="1"/>
  <c r="J22" i="3"/>
  <c r="F22" i="3"/>
  <c r="I22" i="3" s="1"/>
  <c r="L19" i="2"/>
  <c r="J20" i="2"/>
  <c r="G22" i="2"/>
  <c r="K20" i="2" l="1"/>
  <c r="M20" i="2"/>
  <c r="K22" i="4"/>
  <c r="L22" i="4"/>
  <c r="J23" i="4"/>
  <c r="M23" i="4" s="1"/>
  <c r="G24" i="4"/>
  <c r="H24" i="4" s="1"/>
  <c r="F23" i="4"/>
  <c r="I23" i="4" s="1"/>
  <c r="E27" i="4"/>
  <c r="F22" i="2"/>
  <c r="I22" i="2" s="1"/>
  <c r="L22" i="3"/>
  <c r="K22" i="3"/>
  <c r="J23" i="3"/>
  <c r="G24" i="3"/>
  <c r="H24" i="3" s="1"/>
  <c r="F23" i="3"/>
  <c r="I23" i="3" s="1"/>
  <c r="E26" i="3"/>
  <c r="L20" i="2"/>
  <c r="J21" i="2"/>
  <c r="M21" i="2" s="1"/>
  <c r="G23" i="2"/>
  <c r="K21" i="2" l="1"/>
  <c r="E28" i="4"/>
  <c r="J24" i="4"/>
  <c r="M24" i="4" s="1"/>
  <c r="G25" i="4"/>
  <c r="H25" i="4" s="1"/>
  <c r="F24" i="4"/>
  <c r="I24" i="4" s="1"/>
  <c r="L23" i="4"/>
  <c r="K23" i="4"/>
  <c r="F23" i="2"/>
  <c r="I23" i="2" s="1"/>
  <c r="G25" i="3"/>
  <c r="H25" i="3" s="1"/>
  <c r="J24" i="3"/>
  <c r="F24" i="3"/>
  <c r="I24" i="3" s="1"/>
  <c r="E27" i="3"/>
  <c r="L23" i="3"/>
  <c r="K23" i="3"/>
  <c r="L21" i="2"/>
  <c r="J22" i="2"/>
  <c r="G24" i="2"/>
  <c r="K22" i="2" l="1"/>
  <c r="M22" i="2"/>
  <c r="J25" i="4"/>
  <c r="M25" i="4" s="1"/>
  <c r="G26" i="4"/>
  <c r="H26" i="4" s="1"/>
  <c r="F25" i="4"/>
  <c r="I25" i="4" s="1"/>
  <c r="L24" i="4"/>
  <c r="K24" i="4"/>
  <c r="E29" i="4"/>
  <c r="F24" i="2"/>
  <c r="I24" i="2" s="1"/>
  <c r="E28" i="3"/>
  <c r="L24" i="3"/>
  <c r="K24" i="3"/>
  <c r="J25" i="3"/>
  <c r="G26" i="3"/>
  <c r="H26" i="3" s="1"/>
  <c r="F25" i="3"/>
  <c r="I25" i="3" s="1"/>
  <c r="J23" i="2"/>
  <c r="M23" i="2" s="1"/>
  <c r="L22" i="2"/>
  <c r="J24" i="2"/>
  <c r="M24" i="2" s="1"/>
  <c r="G25" i="2"/>
  <c r="K23" i="2" l="1"/>
  <c r="K24" i="2"/>
  <c r="E30" i="4"/>
  <c r="J26" i="4"/>
  <c r="M26" i="4" s="1"/>
  <c r="G27" i="4"/>
  <c r="H27" i="4" s="1"/>
  <c r="F26" i="4"/>
  <c r="I26" i="4" s="1"/>
  <c r="K25" i="4"/>
  <c r="L25" i="4"/>
  <c r="F25" i="2"/>
  <c r="I25" i="2" s="1"/>
  <c r="K25" i="3"/>
  <c r="L25" i="3"/>
  <c r="G27" i="3"/>
  <c r="H27" i="3" s="1"/>
  <c r="J26" i="3"/>
  <c r="F26" i="3"/>
  <c r="I26" i="3" s="1"/>
  <c r="E29" i="3"/>
  <c r="L23" i="2"/>
  <c r="L24" i="2"/>
  <c r="G26" i="2"/>
  <c r="J27" i="4" l="1"/>
  <c r="M27" i="4" s="1"/>
  <c r="G28" i="4"/>
  <c r="H28" i="4" s="1"/>
  <c r="F27" i="4"/>
  <c r="I27" i="4" s="1"/>
  <c r="L26" i="4"/>
  <c r="K26" i="4"/>
  <c r="E31" i="4"/>
  <c r="F26" i="2"/>
  <c r="I26" i="2" s="1"/>
  <c r="E30" i="3"/>
  <c r="L26" i="3"/>
  <c r="K26" i="3"/>
  <c r="G28" i="3"/>
  <c r="H28" i="3" s="1"/>
  <c r="J27" i="3"/>
  <c r="F27" i="3"/>
  <c r="I27" i="3" s="1"/>
  <c r="J25" i="2"/>
  <c r="M25" i="2" s="1"/>
  <c r="G27" i="2"/>
  <c r="K25" i="2" l="1"/>
  <c r="E32" i="4"/>
  <c r="G29" i="4"/>
  <c r="H29" i="4" s="1"/>
  <c r="J28" i="4"/>
  <c r="M28" i="4" s="1"/>
  <c r="F28" i="4"/>
  <c r="I28" i="4" s="1"/>
  <c r="L27" i="4"/>
  <c r="K27" i="4"/>
  <c r="F27" i="2"/>
  <c r="I27" i="2" s="1"/>
  <c r="E31" i="3"/>
  <c r="K27" i="3"/>
  <c r="L27" i="3"/>
  <c r="J28" i="3"/>
  <c r="G29" i="3"/>
  <c r="H29" i="3" s="1"/>
  <c r="F28" i="3"/>
  <c r="I28" i="3" s="1"/>
  <c r="L25" i="2"/>
  <c r="J26" i="2"/>
  <c r="G28" i="2"/>
  <c r="K26" i="2" l="1"/>
  <c r="M26" i="2"/>
  <c r="K28" i="4"/>
  <c r="L28" i="4"/>
  <c r="G30" i="4"/>
  <c r="H30" i="4" s="1"/>
  <c r="J29" i="4"/>
  <c r="M29" i="4" s="1"/>
  <c r="F29" i="4"/>
  <c r="I29" i="4" s="1"/>
  <c r="L26" i="2"/>
  <c r="F28" i="2"/>
  <c r="I28" i="2" s="1"/>
  <c r="G30" i="3"/>
  <c r="H30" i="3" s="1"/>
  <c r="J29" i="3"/>
  <c r="F29" i="3"/>
  <c r="I29" i="3" s="1"/>
  <c r="K28" i="3"/>
  <c r="L28" i="3"/>
  <c r="E32" i="3"/>
  <c r="J27" i="2"/>
  <c r="M27" i="2" s="1"/>
  <c r="G29" i="2"/>
  <c r="K27" i="2" l="1"/>
  <c r="L29" i="4"/>
  <c r="K29" i="4"/>
  <c r="G31" i="4"/>
  <c r="H31" i="4" s="1"/>
  <c r="J30" i="4"/>
  <c r="M30" i="4" s="1"/>
  <c r="F30" i="4"/>
  <c r="I30" i="4" s="1"/>
  <c r="F29" i="2"/>
  <c r="I29" i="2" s="1"/>
  <c r="L27" i="2"/>
  <c r="L29" i="3"/>
  <c r="K29" i="3"/>
  <c r="J30" i="3"/>
  <c r="G31" i="3"/>
  <c r="H31" i="3" s="1"/>
  <c r="F30" i="3"/>
  <c r="I30" i="3" s="1"/>
  <c r="J28" i="2"/>
  <c r="J29" i="2"/>
  <c r="M29" i="2" s="1"/>
  <c r="G30" i="2"/>
  <c r="K28" i="2" l="1"/>
  <c r="M28" i="2"/>
  <c r="K29" i="2"/>
  <c r="L30" i="4"/>
  <c r="K30" i="4"/>
  <c r="J31" i="4"/>
  <c r="M31" i="4" s="1"/>
  <c r="G32" i="4"/>
  <c r="H32" i="4" s="1"/>
  <c r="F31" i="4"/>
  <c r="I31" i="4" s="1"/>
  <c r="F30" i="2"/>
  <c r="I30" i="2" s="1"/>
  <c r="G32" i="3"/>
  <c r="H32" i="3" s="1"/>
  <c r="J31" i="3"/>
  <c r="F31" i="3"/>
  <c r="I31" i="3" s="1"/>
  <c r="L30" i="3"/>
  <c r="K30" i="3"/>
  <c r="L28" i="2"/>
  <c r="L29" i="2"/>
  <c r="G31" i="2"/>
  <c r="J32" i="4" l="1"/>
  <c r="M32" i="4" s="1"/>
  <c r="F32" i="4"/>
  <c r="I32" i="4" s="1"/>
  <c r="L31" i="4"/>
  <c r="K31" i="4"/>
  <c r="J32" i="3"/>
  <c r="F32" i="3"/>
  <c r="I32" i="3" s="1"/>
  <c r="L31" i="3"/>
  <c r="K31" i="3"/>
  <c r="G32" i="2"/>
  <c r="F31" i="2"/>
  <c r="I31" i="2" s="1"/>
  <c r="J30" i="2"/>
  <c r="M30" i="2" s="1"/>
  <c r="L30" i="2"/>
  <c r="K30" i="2" l="1"/>
  <c r="L32" i="4"/>
  <c r="K32" i="4"/>
  <c r="K33" i="4" s="1"/>
  <c r="F32" i="2"/>
  <c r="I32" i="2" s="1"/>
  <c r="L32" i="3"/>
  <c r="K32" i="3"/>
  <c r="K33" i="3" s="1"/>
  <c r="J32" i="2"/>
  <c r="M32" i="2" s="1"/>
  <c r="J31" i="2"/>
  <c r="L31" i="2" l="1"/>
  <c r="M31" i="2"/>
  <c r="K31" i="2"/>
  <c r="K32" i="2" s="1"/>
  <c r="K33" i="2" s="1"/>
  <c r="L32" i="2"/>
</calcChain>
</file>

<file path=xl/sharedStrings.xml><?xml version="1.0" encoding="utf-8"?>
<sst xmlns="http://schemas.openxmlformats.org/spreadsheetml/2006/main" count="93" uniqueCount="38">
  <si>
    <t>Year</t>
  </si>
  <si>
    <t>Cumulative Savings</t>
  </si>
  <si>
    <t>Elec Rate/kWh</t>
  </si>
  <si>
    <t>Project Cost/kW</t>
  </si>
  <si>
    <t>Total Project Construction Cost</t>
  </si>
  <si>
    <t>Value of Energy Supplied by Solar</t>
  </si>
  <si>
    <t>Potential Project size (kW)</t>
  </si>
  <si>
    <t>Revenue/Sq.m. annually</t>
  </si>
  <si>
    <t>Cost of Energy Year 1</t>
  </si>
  <si>
    <t>Annual Inflation</t>
  </si>
  <si>
    <t>Roof Size Req'd for Solar (Sq.m)</t>
  </si>
  <si>
    <t xml:space="preserve">Clients Energy Cost Savings Over 30 Year System Lifespan </t>
  </si>
  <si>
    <t>Savings/Revenue on the cost of Solar Power</t>
  </si>
  <si>
    <t>Assumptions</t>
  </si>
  <si>
    <t>Annual Panel Degradation</t>
  </si>
  <si>
    <t>Solar Energy Generation Capacity (KWh)</t>
  </si>
  <si>
    <t>Sun hours = 70% of Total Consumption</t>
  </si>
  <si>
    <t>Annual Solar Power Generation value</t>
  </si>
  <si>
    <t xml:space="preserve">Brasswater 400 Humberline Etobicote Ont.                Supremex                                           </t>
  </si>
  <si>
    <t xml:space="preserve">Clients Energy Cost Savings Over First 5 Years </t>
  </si>
  <si>
    <t>Cost of Energy year 2-16</t>
  </si>
  <si>
    <t>Annual Toronto Hydro cost with 3% Annual inflation</t>
  </si>
  <si>
    <t>Annual projected invoicing from Toronto Hydro</t>
  </si>
  <si>
    <t>Combined energy cost of Solar and Toronto Hydro</t>
  </si>
  <si>
    <t>IESO Rebate</t>
  </si>
  <si>
    <t>Federal ITC</t>
  </si>
  <si>
    <t>Cash Back</t>
  </si>
  <si>
    <t>ITC &amp; IESO Cash Back  Model: 38,750 sq. ft. of roof coverage by Solar power plant. No out-of-pocket upfront expenditures by the customer.  Power-Purchase-Agreement providing energy at 60% savings over utility. Exit option anytime after 5 yrs.</t>
  </si>
  <si>
    <t>ITC &amp; IESO Model: 38,750 sq. ft. of roof coverage by Solar power plant. No out-of-pocket upfront expenditures by the customer.  Power-Purchase-Agreement providing energy at 65% savings over utility. Exit option anytime after 5 yrs.</t>
  </si>
  <si>
    <t xml:space="preserve">ITC Model: 38,750 sq. ft. of roof coverage by Solar power plant. No out-of-pocket upfront expenditures by the customer.  Power-Purchase-Agreement providing energy at 40% savings over utility. Full ownership after 16 years. </t>
  </si>
  <si>
    <t xml:space="preserve">Brasswater 400 Humberline Etobicoke Ont.                Supremex                                           </t>
  </si>
  <si>
    <t>Percentage Overall Savings</t>
  </si>
  <si>
    <t>Overall Percentage Savings</t>
  </si>
  <si>
    <t>Cost of Energy year 2-30</t>
  </si>
  <si>
    <t xml:space="preserve">Clients Energy Cost Savings Over First 16 Years </t>
  </si>
  <si>
    <t>Proposal #112525a - Dec 04  2025</t>
  </si>
  <si>
    <t>Proposal #112525b - Dec 04  2025</t>
  </si>
  <si>
    <t xml:space="preserve">Annual projected Invoicing from TRC  Solar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</si>
</sst>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(&quot;$&quot;* #,##0_);_(&quot;$&quot;* \(#,##0\);_(&quot;$&quot;* &quot;-&quot;_);_(@_)"/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_-* #,##0_-;\-* #,##0_-;_-* &quot;-&quot;??_-;_-@_-"/>
    <numFmt numFmtId="167" formatCode="_-&quot;$&quot;* #,##0.000_-;\-&quot;$&quot;* #,##0.000_-;_-&quot;$&quot;* &quot;-&quot;??_-;_-@_-"/>
    <numFmt numFmtId="168" formatCode="_-&quot;$&quot;* #,##0_-;\-&quot;$&quot;* #,##0_-;_-&quot;$&quot;* &quot;-&quot;???_-;_-@_-"/>
    <numFmt numFmtId="169" formatCode="_-&quot;$&quot;* #,##0_-;\-&quot;$&quot;* #,##0_-;_-&quot;$&quot;* &quot;-&quot;??_-;_-@_-"/>
    <numFmt numFmtId="170" formatCode="_-&quot;$&quot;* #,##0.00000_-;\-&quot;$&quot;* #,##0.00000_-;_-&quot;$&quot;* &quot;-&quot;??_-;_-@_-"/>
    <numFmt numFmtId="171" formatCode="_-* #,##0.0_-;\-* #,##0.0_-;_-* &quot;-&quot;??_-;_-@_-"/>
    <numFmt numFmtId="172" formatCode="#,##0.0000_);\(#,##0.0000\)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1"/>
      <color theme="1"/>
      <name val="Helvetica"/>
      <family val="2"/>
    </font>
    <font>
      <sz val="11"/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7">
    <xf numFmtId="0" fontId="0" fillId="0" borderId="0" xfId="0"/>
    <xf numFmtId="0" fontId="2" fillId="0" borderId="0" xfId="0" applyFont="1" applyAlignment="1">
      <alignment horizontal="center" vertical="center" wrapText="1"/>
    </xf>
    <xf numFmtId="166" fontId="0" fillId="0" borderId="0" xfId="1" applyNumberFormat="1" applyFont="1" applyFill="1"/>
    <xf numFmtId="169" fontId="0" fillId="0" borderId="0" xfId="2" applyNumberFormat="1" applyFont="1" applyFill="1"/>
    <xf numFmtId="167" fontId="0" fillId="0" borderId="0" xfId="2" applyNumberFormat="1" applyFont="1" applyFill="1"/>
    <xf numFmtId="168" fontId="0" fillId="0" borderId="0" xfId="0" applyNumberFormat="1"/>
    <xf numFmtId="9" fontId="0" fillId="0" borderId="0" xfId="3" applyFont="1" applyFill="1"/>
    <xf numFmtId="165" fontId="0" fillId="0" borderId="0" xfId="1" applyFont="1" applyFill="1"/>
    <xf numFmtId="164" fontId="0" fillId="0" borderId="0" xfId="2" applyFont="1" applyFill="1"/>
    <xf numFmtId="169" fontId="0" fillId="0" borderId="0" xfId="2" applyNumberFormat="1" applyFont="1" applyFill="1" applyBorder="1"/>
    <xf numFmtId="0" fontId="2" fillId="0" borderId="0" xfId="0" applyFont="1"/>
    <xf numFmtId="164" fontId="0" fillId="0" borderId="0" xfId="0" applyNumberFormat="1"/>
    <xf numFmtId="0" fontId="3" fillId="0" borderId="0" xfId="0" applyFont="1" applyAlignment="1">
      <alignment wrapText="1"/>
    </xf>
    <xf numFmtId="167" fontId="0" fillId="0" borderId="0" xfId="2" applyNumberFormat="1" applyFont="1"/>
    <xf numFmtId="167" fontId="2" fillId="0" borderId="0" xfId="2" applyNumberFormat="1" applyFont="1" applyBorder="1" applyAlignment="1">
      <alignment horizontal="center" vertical="center" wrapText="1"/>
    </xf>
    <xf numFmtId="166" fontId="0" fillId="0" borderId="0" xfId="1" applyNumberFormat="1" applyFont="1" applyFill="1" applyBorder="1"/>
    <xf numFmtId="166" fontId="0" fillId="0" borderId="0" xfId="1" applyNumberFormat="1" applyFont="1" applyBorder="1"/>
    <xf numFmtId="167" fontId="0" fillId="0" borderId="0" xfId="2" applyNumberFormat="1" applyFont="1" applyBorder="1"/>
    <xf numFmtId="165" fontId="0" fillId="0" borderId="0" xfId="0" applyNumberFormat="1"/>
    <xf numFmtId="169" fontId="0" fillId="0" borderId="0" xfId="0" applyNumberFormat="1"/>
    <xf numFmtId="9" fontId="0" fillId="0" borderId="0" xfId="0" applyNumberFormat="1"/>
    <xf numFmtId="170" fontId="0" fillId="0" borderId="0" xfId="0" applyNumberFormat="1"/>
    <xf numFmtId="167" fontId="0" fillId="0" borderId="0" xfId="0" applyNumberFormat="1"/>
    <xf numFmtId="169" fontId="4" fillId="0" borderId="0" xfId="0" applyNumberFormat="1" applyFont="1"/>
    <xf numFmtId="0" fontId="2" fillId="0" borderId="0" xfId="0" applyFont="1" applyAlignment="1">
      <alignment vertical="center" wrapText="1"/>
    </xf>
    <xf numFmtId="169" fontId="6" fillId="0" borderId="0" xfId="2" applyNumberFormat="1" applyFont="1" applyFill="1"/>
    <xf numFmtId="0" fontId="2" fillId="0" borderId="1" xfId="0" applyFont="1" applyBorder="1"/>
    <xf numFmtId="0" fontId="0" fillId="0" borderId="4" xfId="0" applyBorder="1"/>
    <xf numFmtId="166" fontId="0" fillId="0" borderId="5" xfId="1" applyNumberFormat="1" applyFont="1" applyFill="1" applyBorder="1"/>
    <xf numFmtId="0" fontId="6" fillId="0" borderId="0" xfId="0" applyFont="1"/>
    <xf numFmtId="169" fontId="5" fillId="2" borderId="4" xfId="2" applyNumberFormat="1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69" fontId="2" fillId="0" borderId="4" xfId="2" applyNumberFormat="1" applyFont="1" applyFill="1" applyBorder="1" applyAlignment="1">
      <alignment horizontal="center" vertical="center" wrapText="1"/>
    </xf>
    <xf numFmtId="0" fontId="5" fillId="0" borderId="0" xfId="0" applyFont="1"/>
    <xf numFmtId="0" fontId="2" fillId="0" borderId="0" xfId="0" applyFont="1" applyAlignment="1">
      <alignment wrapText="1"/>
    </xf>
    <xf numFmtId="164" fontId="2" fillId="3" borderId="4" xfId="2" applyFont="1" applyFill="1" applyBorder="1" applyAlignment="1">
      <alignment horizontal="center" vertical="center" wrapText="1"/>
    </xf>
    <xf numFmtId="164" fontId="2" fillId="3" borderId="9" xfId="2" applyFont="1" applyFill="1" applyBorder="1" applyAlignment="1">
      <alignment horizontal="center" vertical="center" wrapText="1"/>
    </xf>
    <xf numFmtId="169" fontId="0" fillId="3" borderId="10" xfId="2" applyNumberFormat="1" applyFont="1" applyFill="1" applyBorder="1"/>
    <xf numFmtId="0" fontId="2" fillId="0" borderId="12" xfId="0" applyFont="1" applyBorder="1" applyAlignment="1">
      <alignment horizontal="center" vertical="center" wrapText="1"/>
    </xf>
    <xf numFmtId="166" fontId="0" fillId="0" borderId="12" xfId="1" applyNumberFormat="1" applyFont="1" applyFill="1" applyBorder="1"/>
    <xf numFmtId="166" fontId="0" fillId="0" borderId="7" xfId="1" applyNumberFormat="1" applyFont="1" applyFill="1" applyBorder="1"/>
    <xf numFmtId="166" fontId="0" fillId="0" borderId="13" xfId="1" applyNumberFormat="1" applyFont="1" applyFill="1" applyBorder="1"/>
    <xf numFmtId="0" fontId="6" fillId="3" borderId="1" xfId="0" applyFont="1" applyFill="1" applyBorder="1"/>
    <xf numFmtId="0" fontId="7" fillId="3" borderId="6" xfId="0" applyFont="1" applyFill="1" applyBorder="1"/>
    <xf numFmtId="0" fontId="0" fillId="3" borderId="7" xfId="0" applyFill="1" applyBorder="1"/>
    <xf numFmtId="0" fontId="2" fillId="3" borderId="7" xfId="0" applyFont="1" applyFill="1" applyBorder="1" applyAlignment="1">
      <alignment vertical="top" wrapText="1"/>
    </xf>
    <xf numFmtId="166" fontId="0" fillId="3" borderId="1" xfId="1" applyNumberFormat="1" applyFont="1" applyFill="1" applyBorder="1"/>
    <xf numFmtId="166" fontId="0" fillId="3" borderId="2" xfId="1" applyNumberFormat="1" applyFont="1" applyFill="1" applyBorder="1"/>
    <xf numFmtId="169" fontId="2" fillId="3" borderId="2" xfId="2" applyNumberFormat="1" applyFont="1" applyFill="1" applyBorder="1" applyAlignment="1">
      <alignment vertical="top" wrapText="1"/>
    </xf>
    <xf numFmtId="164" fontId="2" fillId="3" borderId="2" xfId="2" applyFont="1" applyFill="1" applyBorder="1" applyAlignment="1">
      <alignment vertical="top" wrapText="1"/>
    </xf>
    <xf numFmtId="169" fontId="6" fillId="3" borderId="15" xfId="2" applyNumberFormat="1" applyFont="1" applyFill="1" applyBorder="1"/>
    <xf numFmtId="166" fontId="0" fillId="3" borderId="16" xfId="1" applyNumberFormat="1" applyFont="1" applyFill="1" applyBorder="1"/>
    <xf numFmtId="0" fontId="6" fillId="3" borderId="22" xfId="0" applyFont="1" applyFill="1" applyBorder="1"/>
    <xf numFmtId="169" fontId="6" fillId="3" borderId="23" xfId="0" applyNumberFormat="1" applyFont="1" applyFill="1" applyBorder="1"/>
    <xf numFmtId="0" fontId="0" fillId="3" borderId="24" xfId="0" applyFill="1" applyBorder="1"/>
    <xf numFmtId="0" fontId="7" fillId="3" borderId="1" xfId="0" applyFont="1" applyFill="1" applyBorder="1"/>
    <xf numFmtId="0" fontId="0" fillId="3" borderId="2" xfId="0" applyFill="1" applyBorder="1"/>
    <xf numFmtId="0" fontId="2" fillId="3" borderId="2" xfId="0" applyFont="1" applyFill="1" applyBorder="1" applyAlignment="1">
      <alignment vertical="top" wrapText="1"/>
    </xf>
    <xf numFmtId="0" fontId="2" fillId="3" borderId="1" xfId="0" applyFont="1" applyFill="1" applyBorder="1"/>
    <xf numFmtId="0" fontId="2" fillId="0" borderId="22" xfId="0" applyFont="1" applyBorder="1"/>
    <xf numFmtId="0" fontId="2" fillId="0" borderId="6" xfId="0" applyFont="1" applyBorder="1"/>
    <xf numFmtId="0" fontId="2" fillId="0" borderId="22" xfId="0" applyFont="1" applyBorder="1" applyAlignment="1">
      <alignment vertical="top" wrapText="1"/>
    </xf>
    <xf numFmtId="166" fontId="6" fillId="2" borderId="4" xfId="1" applyNumberFormat="1" applyFont="1" applyFill="1" applyBorder="1"/>
    <xf numFmtId="171" fontId="6" fillId="2" borderId="4" xfId="1" applyNumberFormat="1" applyFont="1" applyFill="1" applyBorder="1"/>
    <xf numFmtId="166" fontId="6" fillId="0" borderId="0" xfId="1" applyNumberFormat="1" applyFont="1" applyFill="1"/>
    <xf numFmtId="37" fontId="6" fillId="0" borderId="0" xfId="1" applyNumberFormat="1" applyFont="1"/>
    <xf numFmtId="172" fontId="6" fillId="0" borderId="0" xfId="2" applyNumberFormat="1" applyFont="1" applyFill="1"/>
    <xf numFmtId="168" fontId="6" fillId="0" borderId="0" xfId="0" applyNumberFormat="1" applyFont="1"/>
    <xf numFmtId="169" fontId="6" fillId="0" borderId="3" xfId="2" applyNumberFormat="1" applyFont="1" applyFill="1" applyBorder="1"/>
    <xf numFmtId="9" fontId="6" fillId="0" borderId="24" xfId="3" applyFont="1" applyFill="1" applyBorder="1"/>
    <xf numFmtId="9" fontId="6" fillId="0" borderId="13" xfId="3" applyFont="1" applyFill="1" applyBorder="1"/>
    <xf numFmtId="9" fontId="6" fillId="0" borderId="24" xfId="0" applyNumberFormat="1" applyFont="1" applyBorder="1"/>
    <xf numFmtId="10" fontId="6" fillId="0" borderId="13" xfId="0" applyNumberFormat="1" applyFont="1" applyBorder="1"/>
    <xf numFmtId="9" fontId="6" fillId="0" borderId="3" xfId="3" applyFont="1" applyFill="1" applyBorder="1"/>
    <xf numFmtId="0" fontId="2" fillId="0" borderId="1" xfId="0" applyFont="1" applyBorder="1" applyAlignment="1">
      <alignment vertical="top" wrapText="1"/>
    </xf>
    <xf numFmtId="9" fontId="6" fillId="0" borderId="3" xfId="0" applyNumberFormat="1" applyFont="1" applyBorder="1"/>
    <xf numFmtId="0" fontId="6" fillId="0" borderId="1" xfId="0" applyFont="1" applyBorder="1"/>
    <xf numFmtId="10" fontId="6" fillId="0" borderId="3" xfId="0" applyNumberFormat="1" applyFont="1" applyBorder="1"/>
    <xf numFmtId="0" fontId="6" fillId="0" borderId="1" xfId="0" applyFont="1" applyBorder="1" applyAlignment="1">
      <alignment vertical="top" wrapText="1"/>
    </xf>
    <xf numFmtId="169" fontId="6" fillId="3" borderId="8" xfId="2" applyNumberFormat="1" applyFont="1" applyFill="1" applyBorder="1"/>
    <xf numFmtId="169" fontId="6" fillId="3" borderId="14" xfId="2" applyNumberFormat="1" applyFont="1" applyFill="1" applyBorder="1"/>
    <xf numFmtId="169" fontId="6" fillId="3" borderId="4" xfId="2" applyNumberFormat="1" applyFont="1" applyFill="1" applyBorder="1"/>
    <xf numFmtId="169" fontId="6" fillId="3" borderId="1" xfId="0" applyNumberFormat="1" applyFont="1" applyFill="1" applyBorder="1"/>
    <xf numFmtId="0" fontId="6" fillId="3" borderId="5" xfId="0" applyFont="1" applyFill="1" applyBorder="1"/>
    <xf numFmtId="169" fontId="6" fillId="3" borderId="0" xfId="0" applyNumberFormat="1" applyFont="1" applyFill="1"/>
    <xf numFmtId="169" fontId="6" fillId="3" borderId="2" xfId="2" applyNumberFormat="1" applyFont="1" applyFill="1" applyBorder="1"/>
    <xf numFmtId="0" fontId="6" fillId="3" borderId="1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6" fillId="3" borderId="3" xfId="0" applyFont="1" applyFill="1" applyBorder="1" applyAlignment="1">
      <alignment horizontal="left" vertical="center" wrapText="1"/>
    </xf>
    <xf numFmtId="169" fontId="2" fillId="4" borderId="4" xfId="2" applyNumberFormat="1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164" fontId="2" fillId="5" borderId="9" xfId="2" applyFont="1" applyFill="1" applyBorder="1" applyAlignment="1">
      <alignment horizontal="center" vertical="center" wrapText="1"/>
    </xf>
    <xf numFmtId="164" fontId="0" fillId="5" borderId="8" xfId="2" applyFont="1" applyFill="1" applyBorder="1"/>
    <xf numFmtId="164" fontId="0" fillId="5" borderId="14" xfId="2" applyFont="1" applyFill="1" applyBorder="1"/>
    <xf numFmtId="164" fontId="0" fillId="5" borderId="10" xfId="2" applyFont="1" applyFill="1" applyBorder="1"/>
    <xf numFmtId="164" fontId="0" fillId="5" borderId="19" xfId="2" applyFont="1" applyFill="1" applyBorder="1"/>
    <xf numFmtId="164" fontId="0" fillId="5" borderId="20" xfId="2" applyFont="1" applyFill="1" applyBorder="1"/>
    <xf numFmtId="164" fontId="2" fillId="6" borderId="9" xfId="2" applyFont="1" applyFill="1" applyBorder="1" applyAlignment="1">
      <alignment horizontal="center" vertical="center" wrapText="1"/>
    </xf>
    <xf numFmtId="10" fontId="0" fillId="6" borderId="28" xfId="2" applyNumberFormat="1" applyFont="1" applyFill="1" applyBorder="1"/>
    <xf numFmtId="166" fontId="0" fillId="0" borderId="11" xfId="1" applyNumberFormat="1" applyFont="1" applyFill="1" applyBorder="1"/>
    <xf numFmtId="166" fontId="0" fillId="0" borderId="17" xfId="1" applyNumberFormat="1" applyFont="1" applyFill="1" applyBorder="1"/>
    <xf numFmtId="166" fontId="0" fillId="0" borderId="18" xfId="1" applyNumberFormat="1" applyFont="1" applyFill="1" applyBorder="1"/>
    <xf numFmtId="0" fontId="2" fillId="2" borderId="4" xfId="0" applyFont="1" applyFill="1" applyBorder="1" applyAlignment="1">
      <alignment horizontal="center" vertical="center" wrapText="1"/>
    </xf>
    <xf numFmtId="164" fontId="2" fillId="2" borderId="3" xfId="2" applyFont="1" applyFill="1" applyBorder="1" applyAlignment="1">
      <alignment horizontal="center" vertical="center" wrapText="1"/>
    </xf>
    <xf numFmtId="164" fontId="2" fillId="2" borderId="4" xfId="2" applyFont="1" applyFill="1" applyBorder="1" applyAlignment="1">
      <alignment horizontal="center" vertical="center" wrapText="1"/>
    </xf>
    <xf numFmtId="42" fontId="0" fillId="4" borderId="9" xfId="1" applyNumberFormat="1" applyFont="1" applyFill="1" applyBorder="1"/>
    <xf numFmtId="42" fontId="0" fillId="2" borderId="8" xfId="1" applyNumberFormat="1" applyFont="1" applyFill="1" applyBorder="1"/>
    <xf numFmtId="42" fontId="0" fillId="4" borderId="8" xfId="1" applyNumberFormat="1" applyFont="1" applyFill="1" applyBorder="1"/>
    <xf numFmtId="169" fontId="0" fillId="0" borderId="8" xfId="2" applyNumberFormat="1" applyFont="1" applyFill="1" applyBorder="1"/>
    <xf numFmtId="169" fontId="0" fillId="4" borderId="8" xfId="2" applyNumberFormat="1" applyFont="1" applyFill="1" applyBorder="1"/>
    <xf numFmtId="169" fontId="0" fillId="2" borderId="8" xfId="2" applyNumberFormat="1" applyFont="1" applyFill="1" applyBorder="1"/>
    <xf numFmtId="164" fontId="0" fillId="6" borderId="29" xfId="2" applyFont="1" applyFill="1" applyBorder="1"/>
    <xf numFmtId="164" fontId="2" fillId="5" borderId="4" xfId="2" applyFont="1" applyFill="1" applyBorder="1" applyAlignment="1">
      <alignment horizontal="center" vertical="center" wrapText="1"/>
    </xf>
    <xf numFmtId="164" fontId="2" fillId="6" borderId="4" xfId="2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169" fontId="8" fillId="2" borderId="21" xfId="2" applyNumberFormat="1" applyFont="1" applyFill="1" applyBorder="1"/>
    <xf numFmtId="169" fontId="8" fillId="3" borderId="10" xfId="2" applyNumberFormat="1" applyFont="1" applyFill="1" applyBorder="1"/>
    <xf numFmtId="169" fontId="8" fillId="2" borderId="19" xfId="2" applyNumberFormat="1" applyFont="1" applyFill="1" applyBorder="1"/>
    <xf numFmtId="169" fontId="8" fillId="3" borderId="8" xfId="2" applyNumberFormat="1" applyFont="1" applyFill="1" applyBorder="1"/>
    <xf numFmtId="169" fontId="8" fillId="2" borderId="20" xfId="2" applyNumberFormat="1" applyFont="1" applyFill="1" applyBorder="1"/>
    <xf numFmtId="169" fontId="8" fillId="3" borderId="14" xfId="2" applyNumberFormat="1" applyFont="1" applyFill="1" applyBorder="1"/>
    <xf numFmtId="169" fontId="8" fillId="3" borderId="25" xfId="2" applyNumberFormat="1" applyFont="1" applyFill="1" applyBorder="1"/>
    <xf numFmtId="169" fontId="8" fillId="2" borderId="27" xfId="2" applyNumberFormat="1" applyFont="1" applyFill="1" applyBorder="1"/>
    <xf numFmtId="169" fontId="8" fillId="2" borderId="26" xfId="2" applyNumberFormat="1" applyFont="1" applyFill="1" applyBorder="1"/>
    <xf numFmtId="169" fontId="8" fillId="3" borderId="2" xfId="2" applyNumberFormat="1" applyFont="1" applyFill="1" applyBorder="1" applyAlignment="1">
      <alignment vertical="top" wrapText="1"/>
    </xf>
    <xf numFmtId="169" fontId="8" fillId="3" borderId="4" xfId="2" applyNumberFormat="1" applyFont="1" applyFill="1" applyBorder="1"/>
    <xf numFmtId="42" fontId="0" fillId="2" borderId="30" xfId="1" applyNumberFormat="1" applyFont="1" applyFill="1" applyBorder="1"/>
    <xf numFmtId="169" fontId="0" fillId="0" borderId="22" xfId="2" applyNumberFormat="1" applyFont="1" applyFill="1" applyBorder="1"/>
    <xf numFmtId="169" fontId="0" fillId="4" borderId="31" xfId="2" applyNumberFormat="1" applyFont="1" applyFill="1" applyBorder="1"/>
    <xf numFmtId="169" fontId="0" fillId="2" borderId="32" xfId="2" applyNumberFormat="1" applyFont="1" applyFill="1" applyBorder="1"/>
    <xf numFmtId="169" fontId="8" fillId="2" borderId="31" xfId="2" applyNumberFormat="1" applyFont="1" applyFill="1" applyBorder="1"/>
    <xf numFmtId="42" fontId="0" fillId="2" borderId="14" xfId="1" applyNumberFormat="1" applyFont="1" applyFill="1" applyBorder="1"/>
    <xf numFmtId="42" fontId="0" fillId="4" borderId="14" xfId="1" applyNumberFormat="1" applyFont="1" applyFill="1" applyBorder="1"/>
    <xf numFmtId="169" fontId="0" fillId="0" borderId="14" xfId="2" applyNumberFormat="1" applyFont="1" applyFill="1" applyBorder="1"/>
    <xf numFmtId="169" fontId="0" fillId="4" borderId="14" xfId="2" applyNumberFormat="1" applyFont="1" applyFill="1" applyBorder="1"/>
    <xf numFmtId="169" fontId="0" fillId="2" borderId="14" xfId="2" applyNumberFormat="1" applyFont="1" applyFill="1" applyBorder="1"/>
    <xf numFmtId="169" fontId="0" fillId="3" borderId="31" xfId="2" applyNumberFormat="1" applyFont="1" applyFill="1" applyBorder="1"/>
    <xf numFmtId="166" fontId="0" fillId="0" borderId="14" xfId="1" applyNumberFormat="1" applyFont="1" applyFill="1" applyBorder="1"/>
    <xf numFmtId="169" fontId="0" fillId="0" borderId="34" xfId="2" applyNumberFormat="1" applyFont="1" applyFill="1" applyBorder="1"/>
    <xf numFmtId="166" fontId="0" fillId="0" borderId="8" xfId="1" applyNumberFormat="1" applyFont="1" applyFill="1" applyBorder="1"/>
    <xf numFmtId="169" fontId="0" fillId="0" borderId="31" xfId="2" applyNumberFormat="1" applyFont="1" applyFill="1" applyBorder="1"/>
    <xf numFmtId="169" fontId="2" fillId="3" borderId="3" xfId="2" applyNumberFormat="1" applyFont="1" applyFill="1" applyBorder="1" applyAlignment="1">
      <alignment vertical="top" wrapText="1"/>
    </xf>
    <xf numFmtId="0" fontId="0" fillId="3" borderId="0" xfId="0" applyFill="1" applyBorder="1"/>
    <xf numFmtId="166" fontId="0" fillId="0" borderId="36" xfId="1" applyNumberFormat="1" applyFont="1" applyFill="1" applyBorder="1"/>
    <xf numFmtId="166" fontId="0" fillId="0" borderId="33" xfId="1" applyNumberFormat="1" applyFont="1" applyFill="1" applyBorder="1"/>
    <xf numFmtId="166" fontId="0" fillId="0" borderId="9" xfId="1" applyNumberFormat="1" applyFont="1" applyFill="1" applyBorder="1"/>
    <xf numFmtId="166" fontId="0" fillId="0" borderId="37" xfId="1" applyNumberFormat="1" applyFont="1" applyFill="1" applyBorder="1"/>
    <xf numFmtId="42" fontId="0" fillId="2" borderId="32" xfId="1" applyNumberFormat="1" applyFont="1" applyFill="1" applyBorder="1"/>
    <xf numFmtId="42" fontId="0" fillId="2" borderId="34" xfId="1" applyNumberFormat="1" applyFont="1" applyFill="1" applyBorder="1"/>
    <xf numFmtId="169" fontId="0" fillId="2" borderId="35" xfId="2" applyNumberFormat="1" applyFont="1" applyFill="1" applyBorder="1"/>
    <xf numFmtId="169" fontId="0" fillId="2" borderId="10" xfId="2" applyNumberFormat="1" applyFont="1" applyFill="1" applyBorder="1"/>
    <xf numFmtId="169" fontId="6" fillId="2" borderId="8" xfId="2" applyNumberFormat="1" applyFont="1" applyFill="1" applyBorder="1"/>
    <xf numFmtId="169" fontId="0" fillId="2" borderId="34" xfId="2" applyNumberFormat="1" applyFont="1" applyFill="1" applyBorder="1"/>
    <xf numFmtId="169" fontId="6" fillId="2" borderId="14" xfId="2" applyNumberFormat="1" applyFont="1" applyFill="1" applyBorder="1"/>
    <xf numFmtId="42" fontId="0" fillId="4" borderId="31" xfId="1" applyNumberFormat="1" applyFont="1" applyFill="1" applyBorder="1"/>
    <xf numFmtId="42" fontId="0" fillId="4" borderId="34" xfId="1" applyNumberFormat="1" applyFont="1" applyFill="1" applyBorder="1"/>
    <xf numFmtId="169" fontId="0" fillId="4" borderId="34" xfId="2" applyNumberFormat="1" applyFont="1" applyFill="1" applyBorder="1"/>
    <xf numFmtId="164" fontId="0" fillId="5" borderId="31" xfId="2" applyFont="1" applyFill="1" applyBorder="1"/>
    <xf numFmtId="164" fontId="0" fillId="6" borderId="31" xfId="2" applyFont="1" applyFill="1" applyBorder="1"/>
    <xf numFmtId="166" fontId="0" fillId="0" borderId="38" xfId="1" applyNumberFormat="1" applyFont="1" applyFill="1" applyBorder="1"/>
    <xf numFmtId="166" fontId="0" fillId="0" borderId="39" xfId="1" applyNumberFormat="1" applyFont="1" applyFill="1" applyBorder="1"/>
    <xf numFmtId="166" fontId="0" fillId="0" borderId="40" xfId="1" applyNumberFormat="1" applyFont="1" applyFill="1" applyBorder="1"/>
    <xf numFmtId="42" fontId="0" fillId="2" borderId="35" xfId="1" applyNumberFormat="1" applyFont="1" applyFill="1" applyBorder="1"/>
    <xf numFmtId="42" fontId="0" fillId="2" borderId="19" xfId="1" applyNumberFormat="1" applyFont="1" applyFill="1" applyBorder="1"/>
    <xf numFmtId="42" fontId="0" fillId="2" borderId="20" xfId="1" applyNumberFormat="1" applyFont="1" applyFill="1" applyBorder="1"/>
    <xf numFmtId="169" fontId="0" fillId="2" borderId="0" xfId="2" applyNumberFormat="1" applyFont="1" applyFill="1" applyBorder="1"/>
    <xf numFmtId="0" fontId="2" fillId="0" borderId="9" xfId="0" applyFont="1" applyBorder="1" applyAlignment="1">
      <alignment horizontal="center" vertical="center" wrapText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52916</xdr:rowOff>
    </xdr:from>
    <xdr:to>
      <xdr:col>0</xdr:col>
      <xdr:colOff>2580166</xdr:colOff>
      <xdr:row>0</xdr:row>
      <xdr:rowOff>518584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926F65E-B7B1-7841-BD86-49151BBFA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2916"/>
          <a:ext cx="2747806" cy="46566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52916</xdr:rowOff>
    </xdr:from>
    <xdr:to>
      <xdr:col>0</xdr:col>
      <xdr:colOff>2580166</xdr:colOff>
      <xdr:row>0</xdr:row>
      <xdr:rowOff>518584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879816-883F-43BB-9858-12844904A3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2916"/>
          <a:ext cx="2580166" cy="46566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52916</xdr:rowOff>
    </xdr:from>
    <xdr:to>
      <xdr:col>0</xdr:col>
      <xdr:colOff>2666041</xdr:colOff>
      <xdr:row>0</xdr:row>
      <xdr:rowOff>495300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C28777-EFA3-8546-8D54-9B1EF03CD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2916"/>
          <a:ext cx="2666041" cy="4423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1FA7B-DBC9-4FE3-AD83-988D7AE8ED7F}">
  <sheetPr>
    <pageSetUpPr fitToPage="1"/>
  </sheetPr>
  <dimension ref="A1:AA35"/>
  <sheetViews>
    <sheetView tabSelected="1" topLeftCell="A2" zoomScaleNormal="100" workbookViewId="0">
      <selection activeCell="S2" sqref="S2"/>
    </sheetView>
  </sheetViews>
  <sheetFormatPr baseColWidth="10" defaultColWidth="8.83203125" defaultRowHeight="15" x14ac:dyDescent="0.2"/>
  <cols>
    <col min="1" max="1" width="37.6640625" customWidth="1"/>
    <col min="2" max="2" width="14.33203125" customWidth="1"/>
    <col min="3" max="3" width="4.1640625" customWidth="1"/>
    <col min="4" max="4" width="6.1640625" customWidth="1"/>
    <col min="5" max="5" width="15.1640625" customWidth="1"/>
    <col min="6" max="6" width="16.1640625" customWidth="1"/>
    <col min="7" max="7" width="17.1640625" style="3" customWidth="1"/>
    <col min="8" max="8" width="18.5" style="8" customWidth="1"/>
    <col min="9" max="10" width="19.1640625" style="8" customWidth="1"/>
    <col min="11" max="13" width="16" style="8" customWidth="1"/>
    <col min="14" max="14" width="4.6640625" customWidth="1"/>
    <col min="15" max="15" width="4.6640625" hidden="1" customWidth="1"/>
    <col min="16" max="16" width="2" hidden="1" customWidth="1"/>
    <col min="17" max="18" width="4.6640625" customWidth="1"/>
    <col min="19" max="19" width="11.5" bestFit="1" customWidth="1"/>
    <col min="20" max="20" width="13.1640625" bestFit="1" customWidth="1"/>
    <col min="21" max="21" width="11.5" bestFit="1" customWidth="1"/>
    <col min="22" max="22" width="5.1640625" bestFit="1" customWidth="1"/>
    <col min="23" max="23" width="11.5" bestFit="1" customWidth="1"/>
    <col min="24" max="24" width="14.1640625" bestFit="1" customWidth="1"/>
    <col min="25" max="25" width="8.83203125" style="13"/>
    <col min="26" max="26" width="9.83203125" bestFit="1" customWidth="1"/>
  </cols>
  <sheetData>
    <row r="1" spans="1:27" ht="47" customHeight="1" thickBot="1" x14ac:dyDescent="0.25">
      <c r="A1" s="27"/>
      <c r="B1" s="30" t="s">
        <v>35</v>
      </c>
      <c r="D1" s="86" t="s">
        <v>29</v>
      </c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8"/>
    </row>
    <row r="2" spans="1:27" s="1" customFormat="1" ht="64" customHeight="1" thickBot="1" x14ac:dyDescent="0.25">
      <c r="A2" s="24" t="s">
        <v>30</v>
      </c>
      <c r="D2" s="31" t="s">
        <v>0</v>
      </c>
      <c r="E2" s="102" t="s">
        <v>21</v>
      </c>
      <c r="F2" s="90" t="s">
        <v>22</v>
      </c>
      <c r="G2" s="32" t="s">
        <v>5</v>
      </c>
      <c r="H2" s="89" t="s">
        <v>37</v>
      </c>
      <c r="I2" s="103" t="s">
        <v>23</v>
      </c>
      <c r="J2" s="104" t="s">
        <v>12</v>
      </c>
      <c r="K2" s="35" t="s">
        <v>1</v>
      </c>
      <c r="L2" s="112" t="s">
        <v>7</v>
      </c>
      <c r="M2" s="113" t="s">
        <v>32</v>
      </c>
      <c r="N2" s="114" t="s">
        <v>0</v>
      </c>
      <c r="P2" s="38"/>
      <c r="Y2" s="14"/>
    </row>
    <row r="3" spans="1:27" ht="16" thickBot="1" x14ac:dyDescent="0.25">
      <c r="A3" s="29" t="s">
        <v>10</v>
      </c>
      <c r="B3" s="62">
        <v>3600</v>
      </c>
      <c r="C3" s="2"/>
      <c r="D3" s="143">
        <v>1</v>
      </c>
      <c r="E3" s="126">
        <v>400357</v>
      </c>
      <c r="F3" s="105">
        <f>E3-G3</f>
        <v>255734.32</v>
      </c>
      <c r="G3" s="127">
        <f>B9</f>
        <v>144622.68</v>
      </c>
      <c r="H3" s="128">
        <f>B9</f>
        <v>144622.68</v>
      </c>
      <c r="I3" s="129">
        <f>E3</f>
        <v>400357</v>
      </c>
      <c r="J3" s="130">
        <f>(H3-$B$9)/$B$9</f>
        <v>0</v>
      </c>
      <c r="K3" s="116">
        <f>J3</f>
        <v>0</v>
      </c>
      <c r="L3" s="94">
        <v>0</v>
      </c>
      <c r="M3" s="111"/>
      <c r="N3" s="101">
        <v>1</v>
      </c>
      <c r="O3" s="15"/>
      <c r="P3" s="39"/>
      <c r="Q3" s="15"/>
      <c r="R3" s="15"/>
      <c r="S3" s="11"/>
      <c r="T3" s="16"/>
      <c r="Y3" s="17"/>
    </row>
    <row r="4" spans="1:27" ht="16" thickBot="1" x14ac:dyDescent="0.25">
      <c r="C4" s="2"/>
      <c r="D4" s="144">
        <f>D3+1</f>
        <v>2</v>
      </c>
      <c r="E4" s="106">
        <f>E3*1.03</f>
        <v>412367.71</v>
      </c>
      <c r="F4" s="107">
        <f t="shared" ref="F4:F32" si="0">E4-G4</f>
        <v>263406.34960000002</v>
      </c>
      <c r="G4" s="108">
        <f t="shared" ref="G4:G32" si="1">G3*(1+$B$24)</f>
        <v>148961.36040000001</v>
      </c>
      <c r="H4" s="109">
        <f t="shared" ref="H4:H18" si="2">G4*$B$20</f>
        <v>89376.81624</v>
      </c>
      <c r="I4" s="110">
        <f t="shared" ref="I4:I32" si="3">F4+H4</f>
        <v>352783.16584000003</v>
      </c>
      <c r="J4" s="117">
        <f t="shared" ref="J4:J32" si="4">G4-H4</f>
        <v>59584.544160000005</v>
      </c>
      <c r="K4" s="118">
        <f t="shared" ref="K4:K17" si="5">J4+K3</f>
        <v>59584.544160000005</v>
      </c>
      <c r="L4" s="92">
        <f t="shared" ref="L4:L31" si="6">J4/$B$3</f>
        <v>16.551262266666669</v>
      </c>
      <c r="M4" s="98">
        <f>J4/E4</f>
        <v>0.14449371935547525</v>
      </c>
      <c r="N4" s="99">
        <f>N3+1</f>
        <v>2</v>
      </c>
      <c r="O4" s="15"/>
      <c r="P4" s="39"/>
      <c r="Q4" s="15"/>
      <c r="R4" s="15"/>
      <c r="S4" s="11"/>
      <c r="T4" s="18"/>
      <c r="Y4" s="17"/>
      <c r="AA4" s="11"/>
    </row>
    <row r="5" spans="1:27" ht="16" thickBot="1" x14ac:dyDescent="0.25">
      <c r="A5" s="10" t="s">
        <v>6</v>
      </c>
      <c r="B5" s="63">
        <v>1000</v>
      </c>
      <c r="C5" s="4"/>
      <c r="D5" s="144">
        <f t="shared" ref="D5:D31" si="7">D4+1</f>
        <v>3</v>
      </c>
      <c r="E5" s="106">
        <f t="shared" ref="E5:E32" si="8">E4*1.03</f>
        <v>424738.74130000005</v>
      </c>
      <c r="F5" s="107">
        <f t="shared" si="0"/>
        <v>271308.54008800001</v>
      </c>
      <c r="G5" s="108">
        <f t="shared" si="1"/>
        <v>153430.20121200001</v>
      </c>
      <c r="H5" s="109">
        <f t="shared" si="2"/>
        <v>92058.120727200003</v>
      </c>
      <c r="I5" s="110">
        <f t="shared" si="3"/>
        <v>363366.66081520001</v>
      </c>
      <c r="J5" s="117">
        <f t="shared" si="4"/>
        <v>61372.080484800012</v>
      </c>
      <c r="K5" s="118">
        <f t="shared" si="5"/>
        <v>120956.62464480002</v>
      </c>
      <c r="L5" s="92">
        <f t="shared" si="6"/>
        <v>17.047800134666669</v>
      </c>
      <c r="M5" s="98">
        <f t="shared" ref="M5:M32" si="9">J5/E5</f>
        <v>0.14449371935547525</v>
      </c>
      <c r="N5" s="99">
        <f t="shared" ref="N5:N31" si="10">N4+1</f>
        <v>3</v>
      </c>
      <c r="O5" s="15"/>
      <c r="P5" s="39"/>
      <c r="Q5" s="15"/>
      <c r="R5" s="15"/>
      <c r="S5" s="11"/>
      <c r="T5" s="18"/>
      <c r="Y5" s="17"/>
    </row>
    <row r="6" spans="1:27" ht="16" x14ac:dyDescent="0.2">
      <c r="A6" s="34" t="s">
        <v>16</v>
      </c>
      <c r="B6" s="64">
        <f>B7/B5</f>
        <v>1205.1890000000001</v>
      </c>
      <c r="C6" s="5"/>
      <c r="D6" s="144">
        <f t="shared" si="7"/>
        <v>4</v>
      </c>
      <c r="E6" s="106">
        <f t="shared" si="8"/>
        <v>437480.90353900008</v>
      </c>
      <c r="F6" s="107">
        <f t="shared" si="0"/>
        <v>279447.79629064002</v>
      </c>
      <c r="G6" s="108">
        <f t="shared" si="1"/>
        <v>158033.10724836003</v>
      </c>
      <c r="H6" s="109">
        <f t="shared" si="2"/>
        <v>94819.864349016018</v>
      </c>
      <c r="I6" s="110">
        <f t="shared" si="3"/>
        <v>374267.66063965601</v>
      </c>
      <c r="J6" s="117">
        <f t="shared" si="4"/>
        <v>63213.242899344012</v>
      </c>
      <c r="K6" s="118">
        <f t="shared" si="5"/>
        <v>184169.86754414404</v>
      </c>
      <c r="L6" s="92">
        <f t="shared" si="6"/>
        <v>17.559234138706671</v>
      </c>
      <c r="M6" s="98">
        <f t="shared" si="9"/>
        <v>0.14449371935547523</v>
      </c>
      <c r="N6" s="99">
        <f t="shared" si="10"/>
        <v>4</v>
      </c>
      <c r="O6" s="15"/>
      <c r="P6" s="39"/>
      <c r="Q6" s="15"/>
      <c r="R6" s="15"/>
      <c r="S6" s="11"/>
      <c r="Y6" s="17"/>
    </row>
    <row r="7" spans="1:27" x14ac:dyDescent="0.2">
      <c r="A7" s="10" t="s">
        <v>15</v>
      </c>
      <c r="B7" s="65">
        <v>1205189</v>
      </c>
      <c r="D7" s="144">
        <f t="shared" si="7"/>
        <v>5</v>
      </c>
      <c r="E7" s="106">
        <f t="shared" si="8"/>
        <v>450605.33064517012</v>
      </c>
      <c r="F7" s="107">
        <f t="shared" si="0"/>
        <v>287831.23017935932</v>
      </c>
      <c r="G7" s="108">
        <f t="shared" si="1"/>
        <v>162774.10046581083</v>
      </c>
      <c r="H7" s="109">
        <f t="shared" si="2"/>
        <v>97664.460279486491</v>
      </c>
      <c r="I7" s="110">
        <f t="shared" si="3"/>
        <v>385495.69045884581</v>
      </c>
      <c r="J7" s="117">
        <f t="shared" si="4"/>
        <v>65109.640186324337</v>
      </c>
      <c r="K7" s="118">
        <f t="shared" si="5"/>
        <v>249279.50773046838</v>
      </c>
      <c r="L7" s="92">
        <f t="shared" si="6"/>
        <v>18.086011162867873</v>
      </c>
      <c r="M7" s="98">
        <f t="shared" si="9"/>
        <v>0.14449371935547523</v>
      </c>
      <c r="N7" s="99">
        <f t="shared" si="10"/>
        <v>5</v>
      </c>
      <c r="O7" s="15"/>
      <c r="P7" s="39"/>
      <c r="Q7" s="15"/>
      <c r="R7" s="15"/>
      <c r="S7" s="11"/>
      <c r="Y7" s="17"/>
    </row>
    <row r="8" spans="1:27" x14ac:dyDescent="0.2">
      <c r="A8" s="10" t="s">
        <v>2</v>
      </c>
      <c r="B8" s="66">
        <v>0.12</v>
      </c>
      <c r="C8" s="3"/>
      <c r="D8" s="144">
        <f t="shared" si="7"/>
        <v>6</v>
      </c>
      <c r="E8" s="106">
        <f t="shared" si="8"/>
        <v>464123.49056452524</v>
      </c>
      <c r="F8" s="107">
        <f t="shared" si="0"/>
        <v>296466.16708474013</v>
      </c>
      <c r="G8" s="108">
        <f t="shared" si="1"/>
        <v>167657.32347978515</v>
      </c>
      <c r="H8" s="109">
        <f t="shared" si="2"/>
        <v>100594.39408787109</v>
      </c>
      <c r="I8" s="110">
        <f t="shared" si="3"/>
        <v>397060.5611726112</v>
      </c>
      <c r="J8" s="117">
        <f t="shared" si="4"/>
        <v>67062.929391914062</v>
      </c>
      <c r="K8" s="118">
        <f t="shared" si="5"/>
        <v>316342.43712238246</v>
      </c>
      <c r="L8" s="92">
        <f t="shared" si="6"/>
        <v>18.628591497753906</v>
      </c>
      <c r="M8" s="98">
        <f t="shared" si="9"/>
        <v>0.14449371935547523</v>
      </c>
      <c r="N8" s="99">
        <f t="shared" si="10"/>
        <v>6</v>
      </c>
      <c r="O8" s="15"/>
      <c r="P8" s="39"/>
      <c r="Q8" s="15"/>
      <c r="R8" s="15"/>
      <c r="S8" s="11"/>
      <c r="Y8" s="17"/>
    </row>
    <row r="9" spans="1:27" x14ac:dyDescent="0.2">
      <c r="A9" s="10" t="s">
        <v>17</v>
      </c>
      <c r="B9" s="67">
        <f>B5*B6*B8</f>
        <v>144622.68</v>
      </c>
      <c r="C9" s="3"/>
      <c r="D9" s="144">
        <f t="shared" si="7"/>
        <v>7</v>
      </c>
      <c r="E9" s="106">
        <f t="shared" si="8"/>
        <v>478047.195281461</v>
      </c>
      <c r="F9" s="107">
        <f t="shared" si="0"/>
        <v>305360.15209728229</v>
      </c>
      <c r="G9" s="108">
        <f t="shared" si="1"/>
        <v>172687.04318417871</v>
      </c>
      <c r="H9" s="109">
        <f t="shared" si="2"/>
        <v>103612.22591050722</v>
      </c>
      <c r="I9" s="110">
        <f t="shared" si="3"/>
        <v>408972.37800778949</v>
      </c>
      <c r="J9" s="117">
        <f t="shared" si="4"/>
        <v>69074.817273671491</v>
      </c>
      <c r="K9" s="118">
        <f t="shared" si="5"/>
        <v>385417.25439605396</v>
      </c>
      <c r="L9" s="92">
        <f t="shared" si="6"/>
        <v>19.187449242686526</v>
      </c>
      <c r="M9" s="98">
        <f t="shared" si="9"/>
        <v>0.14449371935547523</v>
      </c>
      <c r="N9" s="99">
        <f t="shared" si="10"/>
        <v>7</v>
      </c>
      <c r="O9" s="15"/>
      <c r="P9" s="39"/>
      <c r="Q9" s="15"/>
      <c r="R9" s="15"/>
      <c r="S9" s="11"/>
      <c r="U9" s="23">
        <f>B13/2</f>
        <v>1166500</v>
      </c>
      <c r="Y9" s="17"/>
    </row>
    <row r="10" spans="1:27" x14ac:dyDescent="0.2">
      <c r="C10" s="3"/>
      <c r="D10" s="144">
        <f t="shared" si="7"/>
        <v>8</v>
      </c>
      <c r="E10" s="106">
        <f t="shared" si="8"/>
        <v>492388.61113990482</v>
      </c>
      <c r="F10" s="107">
        <f t="shared" si="0"/>
        <v>314520.95666020073</v>
      </c>
      <c r="G10" s="108">
        <f t="shared" si="1"/>
        <v>177867.65447970407</v>
      </c>
      <c r="H10" s="109">
        <f t="shared" si="2"/>
        <v>106720.59268782244</v>
      </c>
      <c r="I10" s="110">
        <f t="shared" si="3"/>
        <v>421241.54934802314</v>
      </c>
      <c r="J10" s="117">
        <f t="shared" si="4"/>
        <v>71147.061791881628</v>
      </c>
      <c r="K10" s="118">
        <f t="shared" si="5"/>
        <v>456564.31618793559</v>
      </c>
      <c r="L10" s="92">
        <f t="shared" si="6"/>
        <v>19.76307271996712</v>
      </c>
      <c r="M10" s="98">
        <f t="shared" si="9"/>
        <v>0.14449371935547523</v>
      </c>
      <c r="N10" s="99">
        <f t="shared" si="10"/>
        <v>8</v>
      </c>
      <c r="O10" s="15"/>
      <c r="P10" s="39"/>
      <c r="Q10" s="15"/>
      <c r="R10" s="15"/>
      <c r="S10" s="11"/>
      <c r="Y10" s="17"/>
    </row>
    <row r="11" spans="1:27" x14ac:dyDescent="0.2">
      <c r="C11" s="3"/>
      <c r="D11" s="144">
        <f t="shared" si="7"/>
        <v>9</v>
      </c>
      <c r="E11" s="106">
        <f t="shared" si="8"/>
        <v>507160.26947410201</v>
      </c>
      <c r="F11" s="107">
        <f t="shared" si="0"/>
        <v>323956.58536000678</v>
      </c>
      <c r="G11" s="108">
        <f t="shared" si="1"/>
        <v>183203.6841140952</v>
      </c>
      <c r="H11" s="109">
        <f t="shared" si="2"/>
        <v>109922.21046845712</v>
      </c>
      <c r="I11" s="110">
        <f t="shared" si="3"/>
        <v>433878.79582846392</v>
      </c>
      <c r="J11" s="117">
        <f t="shared" si="4"/>
        <v>73281.473645638078</v>
      </c>
      <c r="K11" s="118">
        <f t="shared" si="5"/>
        <v>529845.78983357362</v>
      </c>
      <c r="L11" s="92">
        <f t="shared" si="6"/>
        <v>20.355964901566132</v>
      </c>
      <c r="M11" s="98">
        <f t="shared" si="9"/>
        <v>0.14449371935547523</v>
      </c>
      <c r="N11" s="99">
        <f t="shared" si="10"/>
        <v>9</v>
      </c>
      <c r="O11" s="15"/>
      <c r="P11" s="39"/>
      <c r="Q11" s="15"/>
      <c r="R11" s="15"/>
      <c r="S11" s="11"/>
      <c r="Y11" s="17"/>
    </row>
    <row r="12" spans="1:27" x14ac:dyDescent="0.2">
      <c r="A12" s="10" t="s">
        <v>3</v>
      </c>
      <c r="B12" s="25">
        <v>2333</v>
      </c>
      <c r="C12" s="9"/>
      <c r="D12" s="144">
        <f t="shared" si="7"/>
        <v>10</v>
      </c>
      <c r="E12" s="106">
        <f t="shared" si="8"/>
        <v>522375.07755832508</v>
      </c>
      <c r="F12" s="107">
        <f t="shared" si="0"/>
        <v>333675.28292080702</v>
      </c>
      <c r="G12" s="108">
        <f t="shared" si="1"/>
        <v>188699.79463751806</v>
      </c>
      <c r="H12" s="109">
        <f t="shared" si="2"/>
        <v>113219.87678251084</v>
      </c>
      <c r="I12" s="110">
        <f t="shared" si="3"/>
        <v>446895.15970331786</v>
      </c>
      <c r="J12" s="117">
        <f t="shared" si="4"/>
        <v>75479.917855007225</v>
      </c>
      <c r="K12" s="118">
        <f t="shared" si="5"/>
        <v>605325.70768858085</v>
      </c>
      <c r="L12" s="92">
        <f t="shared" si="6"/>
        <v>20.966643848613117</v>
      </c>
      <c r="M12" s="98">
        <f t="shared" si="9"/>
        <v>0.14449371935547523</v>
      </c>
      <c r="N12" s="99">
        <f t="shared" si="10"/>
        <v>10</v>
      </c>
      <c r="O12" s="15"/>
      <c r="P12" s="39"/>
      <c r="Q12" s="15"/>
      <c r="R12" s="15"/>
      <c r="S12" s="11"/>
      <c r="W12" s="19"/>
      <c r="Y12" s="17"/>
      <c r="Z12" s="20"/>
    </row>
    <row r="13" spans="1:27" x14ac:dyDescent="0.2">
      <c r="A13" s="10" t="s">
        <v>4</v>
      </c>
      <c r="B13" s="25">
        <f>B12*B5</f>
        <v>2333000</v>
      </c>
      <c r="C13" s="3"/>
      <c r="D13" s="144">
        <f t="shared" si="7"/>
        <v>11</v>
      </c>
      <c r="E13" s="106">
        <f t="shared" si="8"/>
        <v>538046.32988507487</v>
      </c>
      <c r="F13" s="107">
        <f t="shared" si="0"/>
        <v>343685.54140843125</v>
      </c>
      <c r="G13" s="108">
        <f t="shared" si="1"/>
        <v>194360.78847664362</v>
      </c>
      <c r="H13" s="109">
        <f t="shared" si="2"/>
        <v>116616.47308598617</v>
      </c>
      <c r="I13" s="110">
        <f t="shared" si="3"/>
        <v>460302.01449441741</v>
      </c>
      <c r="J13" s="117">
        <f t="shared" si="4"/>
        <v>77744.315390657444</v>
      </c>
      <c r="K13" s="118">
        <f t="shared" si="5"/>
        <v>683070.02307923825</v>
      </c>
      <c r="L13" s="92">
        <f t="shared" si="6"/>
        <v>21.595643164071511</v>
      </c>
      <c r="M13" s="98">
        <f t="shared" si="9"/>
        <v>0.14449371935547523</v>
      </c>
      <c r="N13" s="99">
        <f t="shared" si="10"/>
        <v>11</v>
      </c>
      <c r="O13" s="15"/>
      <c r="P13" s="39"/>
      <c r="Q13" s="15"/>
      <c r="R13" s="15"/>
      <c r="S13" s="11"/>
      <c r="Y13" s="17"/>
    </row>
    <row r="14" spans="1:27" x14ac:dyDescent="0.2">
      <c r="A14" s="10"/>
      <c r="B14" s="3"/>
      <c r="C14" s="3"/>
      <c r="D14" s="144">
        <f t="shared" si="7"/>
        <v>12</v>
      </c>
      <c r="E14" s="106">
        <f t="shared" si="8"/>
        <v>554187.71978162718</v>
      </c>
      <c r="F14" s="107">
        <f t="shared" si="0"/>
        <v>353996.10765068425</v>
      </c>
      <c r="G14" s="108">
        <f t="shared" si="1"/>
        <v>200191.61213094293</v>
      </c>
      <c r="H14" s="109">
        <f t="shared" si="2"/>
        <v>120114.96727856575</v>
      </c>
      <c r="I14" s="110">
        <f t="shared" si="3"/>
        <v>474111.07492925</v>
      </c>
      <c r="J14" s="117">
        <f t="shared" si="4"/>
        <v>80076.644852377183</v>
      </c>
      <c r="K14" s="118">
        <f t="shared" si="5"/>
        <v>763146.66793161537</v>
      </c>
      <c r="L14" s="92">
        <f t="shared" si="6"/>
        <v>22.243512458993663</v>
      </c>
      <c r="M14" s="98">
        <f t="shared" si="9"/>
        <v>0.14449371935547523</v>
      </c>
      <c r="N14" s="99">
        <f t="shared" si="10"/>
        <v>12</v>
      </c>
      <c r="O14" s="15"/>
      <c r="P14" s="39"/>
      <c r="Q14" s="15"/>
      <c r="R14" s="15"/>
      <c r="S14" s="11"/>
      <c r="Y14" s="17"/>
    </row>
    <row r="15" spans="1:27" ht="16" thickBot="1" x14ac:dyDescent="0.25">
      <c r="A15" s="10"/>
      <c r="B15" s="3"/>
      <c r="C15" s="3"/>
      <c r="D15" s="144">
        <f t="shared" si="7"/>
        <v>13</v>
      </c>
      <c r="E15" s="106">
        <f t="shared" si="8"/>
        <v>570813.35137507599</v>
      </c>
      <c r="F15" s="107">
        <f t="shared" si="0"/>
        <v>364615.99088020477</v>
      </c>
      <c r="G15" s="108">
        <f t="shared" si="1"/>
        <v>206197.36049487122</v>
      </c>
      <c r="H15" s="109">
        <f t="shared" si="2"/>
        <v>123718.41629692272</v>
      </c>
      <c r="I15" s="110">
        <f t="shared" si="3"/>
        <v>488334.40717712749</v>
      </c>
      <c r="J15" s="117">
        <f t="shared" si="4"/>
        <v>82478.944197948498</v>
      </c>
      <c r="K15" s="118">
        <f t="shared" si="5"/>
        <v>845625.61212956393</v>
      </c>
      <c r="L15" s="92">
        <f t="shared" si="6"/>
        <v>22.91081783276347</v>
      </c>
      <c r="M15" s="98">
        <f t="shared" si="9"/>
        <v>0.14449371935547523</v>
      </c>
      <c r="N15" s="99">
        <f t="shared" si="10"/>
        <v>13</v>
      </c>
      <c r="O15" s="15"/>
      <c r="P15" s="39"/>
      <c r="Q15" s="15"/>
      <c r="R15" s="15"/>
      <c r="S15" s="11"/>
      <c r="Y15" s="17"/>
      <c r="Z15" s="21"/>
    </row>
    <row r="16" spans="1:27" ht="16" thickBot="1" x14ac:dyDescent="0.25">
      <c r="A16" s="26" t="s">
        <v>25</v>
      </c>
      <c r="B16" s="68">
        <f>(B13-B15)*0.3</f>
        <v>699900</v>
      </c>
      <c r="C16" s="3"/>
      <c r="D16" s="144">
        <f t="shared" si="7"/>
        <v>14</v>
      </c>
      <c r="E16" s="106">
        <f t="shared" si="8"/>
        <v>587937.75191632833</v>
      </c>
      <c r="F16" s="107">
        <f t="shared" si="0"/>
        <v>375554.47060661099</v>
      </c>
      <c r="G16" s="108">
        <f t="shared" si="1"/>
        <v>212383.28130971736</v>
      </c>
      <c r="H16" s="109">
        <f t="shared" si="2"/>
        <v>127429.96878583041</v>
      </c>
      <c r="I16" s="110">
        <f t="shared" si="3"/>
        <v>502984.43939244142</v>
      </c>
      <c r="J16" s="117">
        <f t="shared" si="4"/>
        <v>84953.312523886954</v>
      </c>
      <c r="K16" s="118">
        <f t="shared" si="5"/>
        <v>930578.92465345084</v>
      </c>
      <c r="L16" s="92">
        <f t="shared" si="6"/>
        <v>23.598142367746377</v>
      </c>
      <c r="M16" s="98">
        <f t="shared" si="9"/>
        <v>0.14449371935547523</v>
      </c>
      <c r="N16" s="99">
        <f t="shared" si="10"/>
        <v>14</v>
      </c>
      <c r="O16" s="15"/>
      <c r="P16" s="39"/>
      <c r="Q16" s="15"/>
      <c r="R16" s="15"/>
      <c r="S16" s="11"/>
      <c r="Y16" s="17"/>
      <c r="Z16" s="22"/>
    </row>
    <row r="17" spans="1:25" x14ac:dyDescent="0.2">
      <c r="A17" s="10"/>
      <c r="B17" s="3"/>
      <c r="C17" s="3"/>
      <c r="D17" s="144">
        <f t="shared" si="7"/>
        <v>15</v>
      </c>
      <c r="E17" s="106">
        <f t="shared" si="8"/>
        <v>605575.88447381824</v>
      </c>
      <c r="F17" s="107">
        <f t="shared" si="0"/>
        <v>386821.10472480935</v>
      </c>
      <c r="G17" s="108">
        <f t="shared" si="1"/>
        <v>218754.77974900889</v>
      </c>
      <c r="H17" s="109">
        <f t="shared" si="2"/>
        <v>131252.86784940533</v>
      </c>
      <c r="I17" s="110">
        <f t="shared" si="3"/>
        <v>518073.97257421468</v>
      </c>
      <c r="J17" s="117">
        <f t="shared" si="4"/>
        <v>87501.911899603554</v>
      </c>
      <c r="K17" s="118">
        <f t="shared" si="5"/>
        <v>1018080.8365530544</v>
      </c>
      <c r="L17" s="92">
        <f t="shared" si="6"/>
        <v>24.306086638778766</v>
      </c>
      <c r="M17" s="98">
        <f t="shared" si="9"/>
        <v>0.14449371935547517</v>
      </c>
      <c r="N17" s="99">
        <f t="shared" si="10"/>
        <v>15</v>
      </c>
      <c r="O17" s="15"/>
      <c r="P17" s="39"/>
      <c r="Q17" s="15"/>
      <c r="R17" s="15"/>
      <c r="S17" s="11"/>
      <c r="Y17" s="17"/>
    </row>
    <row r="18" spans="1:25" ht="16" thickBot="1" x14ac:dyDescent="0.25">
      <c r="A18" s="10"/>
      <c r="B18" s="3"/>
      <c r="C18" s="3"/>
      <c r="D18" s="144">
        <f t="shared" si="7"/>
        <v>16</v>
      </c>
      <c r="E18" s="106">
        <f t="shared" si="8"/>
        <v>623743.16100803285</v>
      </c>
      <c r="F18" s="107">
        <f t="shared" si="0"/>
        <v>398425.73786655371</v>
      </c>
      <c r="G18" s="108">
        <f t="shared" si="1"/>
        <v>225317.42314147917</v>
      </c>
      <c r="H18" s="109">
        <f t="shared" si="2"/>
        <v>135190.45388488751</v>
      </c>
      <c r="I18" s="110">
        <f t="shared" si="3"/>
        <v>533616.19175144122</v>
      </c>
      <c r="J18" s="119">
        <f t="shared" si="4"/>
        <v>90126.969256591663</v>
      </c>
      <c r="K18" s="120">
        <f t="shared" ref="K18:K32" si="11">J18+K17</f>
        <v>1108207.8058096461</v>
      </c>
      <c r="L18" s="93">
        <f t="shared" si="6"/>
        <v>25.035269237942128</v>
      </c>
      <c r="M18" s="98">
        <f t="shared" si="9"/>
        <v>0.14449371935547517</v>
      </c>
      <c r="N18" s="100">
        <f t="shared" si="10"/>
        <v>16</v>
      </c>
      <c r="O18" s="15"/>
      <c r="P18" s="39"/>
      <c r="Q18" s="15"/>
      <c r="R18" s="15"/>
      <c r="S18" s="11"/>
      <c r="Y18" s="17"/>
    </row>
    <row r="19" spans="1:25" ht="16" thickBot="1" x14ac:dyDescent="0.25">
      <c r="A19" s="26" t="s">
        <v>8</v>
      </c>
      <c r="B19" s="73">
        <v>1</v>
      </c>
      <c r="C19" s="3"/>
      <c r="D19" s="144">
        <f t="shared" si="7"/>
        <v>17</v>
      </c>
      <c r="E19" s="106">
        <f t="shared" si="8"/>
        <v>642455.45583827386</v>
      </c>
      <c r="F19" s="107">
        <f t="shared" si="0"/>
        <v>410378.51000255032</v>
      </c>
      <c r="G19" s="108">
        <f t="shared" si="1"/>
        <v>232076.94583572354</v>
      </c>
      <c r="H19" s="109">
        <v>0</v>
      </c>
      <c r="I19" s="110">
        <f t="shared" si="3"/>
        <v>410378.51000255032</v>
      </c>
      <c r="J19" s="117">
        <f t="shared" si="4"/>
        <v>232076.94583572354</v>
      </c>
      <c r="K19" s="118">
        <f t="shared" si="11"/>
        <v>1340284.7516453697</v>
      </c>
      <c r="L19" s="92">
        <f t="shared" si="6"/>
        <v>64.465818287700984</v>
      </c>
      <c r="M19" s="98">
        <f t="shared" si="9"/>
        <v>0.36123429838868792</v>
      </c>
      <c r="N19" s="99">
        <f t="shared" si="10"/>
        <v>17</v>
      </c>
      <c r="O19" s="15"/>
      <c r="P19" s="39"/>
      <c r="Q19" s="15"/>
      <c r="R19" s="15"/>
      <c r="S19" s="11"/>
      <c r="Y19" s="17"/>
    </row>
    <row r="20" spans="1:25" ht="16" thickBot="1" x14ac:dyDescent="0.25">
      <c r="A20" s="60" t="s">
        <v>20</v>
      </c>
      <c r="B20" s="70">
        <v>0.6</v>
      </c>
      <c r="C20" s="3"/>
      <c r="D20" s="144">
        <f t="shared" si="7"/>
        <v>18</v>
      </c>
      <c r="E20" s="106">
        <f t="shared" si="8"/>
        <v>661729.11951342213</v>
      </c>
      <c r="F20" s="107">
        <f t="shared" si="0"/>
        <v>422689.86530262686</v>
      </c>
      <c r="G20" s="108">
        <f t="shared" si="1"/>
        <v>239039.25421079525</v>
      </c>
      <c r="H20" s="109">
        <v>0</v>
      </c>
      <c r="I20" s="110">
        <f t="shared" si="3"/>
        <v>422689.86530262686</v>
      </c>
      <c r="J20" s="115">
        <f t="shared" si="4"/>
        <v>239039.25421079525</v>
      </c>
      <c r="K20" s="121">
        <f t="shared" si="11"/>
        <v>1579324.005856165</v>
      </c>
      <c r="L20" s="94">
        <f t="shared" si="6"/>
        <v>66.399792836332011</v>
      </c>
      <c r="M20" s="98">
        <f t="shared" si="9"/>
        <v>0.36123429838868792</v>
      </c>
      <c r="N20" s="101">
        <f t="shared" si="10"/>
        <v>18</v>
      </c>
      <c r="O20" s="15"/>
      <c r="P20" s="39"/>
      <c r="Q20" s="15"/>
      <c r="R20" s="15"/>
      <c r="S20" s="11"/>
      <c r="Y20" s="17"/>
    </row>
    <row r="21" spans="1:25" x14ac:dyDescent="0.2">
      <c r="A21" s="10"/>
      <c r="B21" s="3"/>
      <c r="C21" s="6"/>
      <c r="D21" s="144">
        <f t="shared" si="7"/>
        <v>19</v>
      </c>
      <c r="E21" s="106">
        <f t="shared" si="8"/>
        <v>681580.99309882487</v>
      </c>
      <c r="F21" s="107">
        <f t="shared" si="0"/>
        <v>435370.56126170576</v>
      </c>
      <c r="G21" s="108">
        <f t="shared" si="1"/>
        <v>246210.4318371191</v>
      </c>
      <c r="H21" s="109">
        <v>0</v>
      </c>
      <c r="I21" s="110">
        <f t="shared" si="3"/>
        <v>435370.56126170576</v>
      </c>
      <c r="J21" s="117">
        <f t="shared" si="4"/>
        <v>246210.4318371191</v>
      </c>
      <c r="K21" s="120">
        <f t="shared" si="11"/>
        <v>1825534.4376932841</v>
      </c>
      <c r="L21" s="92">
        <f t="shared" si="6"/>
        <v>68.391786621421971</v>
      </c>
      <c r="M21" s="98">
        <f t="shared" si="9"/>
        <v>0.36123429838868787</v>
      </c>
      <c r="N21" s="99">
        <f t="shared" si="10"/>
        <v>19</v>
      </c>
      <c r="O21" s="15"/>
      <c r="P21" s="39"/>
      <c r="Q21" s="2"/>
      <c r="R21" s="2"/>
      <c r="S21" s="11"/>
    </row>
    <row r="22" spans="1:25" x14ac:dyDescent="0.2">
      <c r="A22" s="10"/>
      <c r="B22" s="3"/>
      <c r="C22" s="6"/>
      <c r="D22" s="144">
        <f t="shared" si="7"/>
        <v>20</v>
      </c>
      <c r="E22" s="106">
        <f t="shared" si="8"/>
        <v>702028.42289178958</v>
      </c>
      <c r="F22" s="107">
        <f t="shared" si="0"/>
        <v>448431.67809955688</v>
      </c>
      <c r="G22" s="108">
        <f t="shared" si="1"/>
        <v>253596.7447922327</v>
      </c>
      <c r="H22" s="109">
        <v>0</v>
      </c>
      <c r="I22" s="110">
        <f t="shared" si="3"/>
        <v>448431.67809955688</v>
      </c>
      <c r="J22" s="117">
        <f t="shared" si="4"/>
        <v>253596.7447922327</v>
      </c>
      <c r="K22" s="120">
        <f t="shared" si="11"/>
        <v>2079131.1824855169</v>
      </c>
      <c r="L22" s="92">
        <f t="shared" si="6"/>
        <v>70.443540220064634</v>
      </c>
      <c r="M22" s="98">
        <f t="shared" si="9"/>
        <v>0.36123429838868792</v>
      </c>
      <c r="N22" s="99">
        <f t="shared" si="10"/>
        <v>20</v>
      </c>
      <c r="O22" s="15"/>
      <c r="P22" s="39"/>
      <c r="Q22" s="2"/>
      <c r="R22" s="2"/>
      <c r="S22" s="11"/>
    </row>
    <row r="23" spans="1:25" ht="16" thickBot="1" x14ac:dyDescent="0.25">
      <c r="A23" s="33" t="s">
        <v>13</v>
      </c>
      <c r="C23" s="3"/>
      <c r="D23" s="144">
        <f t="shared" si="7"/>
        <v>21</v>
      </c>
      <c r="E23" s="106">
        <f t="shared" si="8"/>
        <v>723089.27557854331</v>
      </c>
      <c r="F23" s="107">
        <f t="shared" si="0"/>
        <v>461884.62844254362</v>
      </c>
      <c r="G23" s="108">
        <f t="shared" si="1"/>
        <v>261204.64713599969</v>
      </c>
      <c r="H23" s="109">
        <v>0</v>
      </c>
      <c r="I23" s="110">
        <f t="shared" si="3"/>
        <v>461884.62844254362</v>
      </c>
      <c r="J23" s="117">
        <f t="shared" si="4"/>
        <v>261204.64713599969</v>
      </c>
      <c r="K23" s="120">
        <f t="shared" si="11"/>
        <v>2340335.8296215166</v>
      </c>
      <c r="L23" s="92">
        <f t="shared" si="6"/>
        <v>72.556846426666581</v>
      </c>
      <c r="M23" s="98">
        <f t="shared" si="9"/>
        <v>0.36123429838868792</v>
      </c>
      <c r="N23" s="99">
        <f t="shared" si="10"/>
        <v>21</v>
      </c>
      <c r="O23" s="15"/>
      <c r="P23" s="39"/>
      <c r="Q23" s="2"/>
      <c r="R23" s="2"/>
      <c r="S23" s="11"/>
    </row>
    <row r="24" spans="1:25" ht="17" thickBot="1" x14ac:dyDescent="0.25">
      <c r="A24" s="61" t="s">
        <v>9</v>
      </c>
      <c r="B24" s="71">
        <v>0.03</v>
      </c>
      <c r="C24" s="7"/>
      <c r="D24" s="144">
        <f t="shared" si="7"/>
        <v>22</v>
      </c>
      <c r="E24" s="106">
        <f t="shared" si="8"/>
        <v>744781.95384589967</v>
      </c>
      <c r="F24" s="107">
        <f t="shared" si="0"/>
        <v>475741.16729581996</v>
      </c>
      <c r="G24" s="108">
        <f t="shared" si="1"/>
        <v>269040.78655007971</v>
      </c>
      <c r="H24" s="109">
        <v>0</v>
      </c>
      <c r="I24" s="110">
        <f t="shared" si="3"/>
        <v>475741.16729581996</v>
      </c>
      <c r="J24" s="117">
        <f t="shared" si="4"/>
        <v>269040.78655007971</v>
      </c>
      <c r="K24" s="120">
        <f t="shared" si="11"/>
        <v>2609376.6161715966</v>
      </c>
      <c r="L24" s="92">
        <f t="shared" si="6"/>
        <v>74.733551819466584</v>
      </c>
      <c r="M24" s="98">
        <f t="shared" si="9"/>
        <v>0.36123429838868792</v>
      </c>
      <c r="N24" s="99">
        <f t="shared" si="10"/>
        <v>22</v>
      </c>
      <c r="O24" s="15"/>
      <c r="P24" s="39"/>
      <c r="Q24" s="2"/>
      <c r="R24" s="2"/>
      <c r="S24" s="11"/>
    </row>
    <row r="25" spans="1:25" ht="16" thickBot="1" x14ac:dyDescent="0.25">
      <c r="A25" s="26" t="s">
        <v>14</v>
      </c>
      <c r="B25" s="77">
        <v>2.0000000000000001E-4</v>
      </c>
      <c r="D25" s="144">
        <f t="shared" si="7"/>
        <v>23</v>
      </c>
      <c r="E25" s="106">
        <f t="shared" si="8"/>
        <v>767125.41246127663</v>
      </c>
      <c r="F25" s="107">
        <f t="shared" si="0"/>
        <v>490013.40231469454</v>
      </c>
      <c r="G25" s="108">
        <f t="shared" si="1"/>
        <v>277112.01014658209</v>
      </c>
      <c r="H25" s="109">
        <v>0</v>
      </c>
      <c r="I25" s="110">
        <f t="shared" si="3"/>
        <v>490013.40231469454</v>
      </c>
      <c r="J25" s="117">
        <f t="shared" si="4"/>
        <v>277112.01014658209</v>
      </c>
      <c r="K25" s="120">
        <f t="shared" si="11"/>
        <v>2886488.6263181786</v>
      </c>
      <c r="L25" s="92">
        <f t="shared" si="6"/>
        <v>76.975558374050578</v>
      </c>
      <c r="M25" s="98">
        <f t="shared" si="9"/>
        <v>0.36123429838868792</v>
      </c>
      <c r="N25" s="99">
        <f t="shared" si="10"/>
        <v>23</v>
      </c>
      <c r="O25" s="15"/>
      <c r="P25" s="39"/>
      <c r="Q25" s="2"/>
      <c r="R25" s="2"/>
      <c r="S25" s="11"/>
    </row>
    <row r="26" spans="1:25" x14ac:dyDescent="0.2">
      <c r="D26" s="144">
        <f t="shared" si="7"/>
        <v>24</v>
      </c>
      <c r="E26" s="106">
        <f t="shared" si="8"/>
        <v>790139.17483511497</v>
      </c>
      <c r="F26" s="107">
        <f t="shared" si="0"/>
        <v>504713.80438413541</v>
      </c>
      <c r="G26" s="108">
        <f t="shared" si="1"/>
        <v>285425.37045097956</v>
      </c>
      <c r="H26" s="109">
        <v>0</v>
      </c>
      <c r="I26" s="110">
        <f t="shared" si="3"/>
        <v>504713.80438413541</v>
      </c>
      <c r="J26" s="117">
        <f t="shared" si="4"/>
        <v>285425.37045097956</v>
      </c>
      <c r="K26" s="120">
        <f t="shared" si="11"/>
        <v>3171913.9967691582</v>
      </c>
      <c r="L26" s="92">
        <f t="shared" si="6"/>
        <v>79.284825125272107</v>
      </c>
      <c r="M26" s="98">
        <f t="shared" si="9"/>
        <v>0.36123429838868792</v>
      </c>
      <c r="N26" s="99">
        <f t="shared" si="10"/>
        <v>24</v>
      </c>
      <c r="O26" s="15"/>
      <c r="P26" s="39"/>
      <c r="Q26" s="2"/>
      <c r="R26" s="2"/>
      <c r="S26" s="11"/>
    </row>
    <row r="27" spans="1:25" x14ac:dyDescent="0.2">
      <c r="D27" s="144">
        <f t="shared" si="7"/>
        <v>25</v>
      </c>
      <c r="E27" s="106">
        <f t="shared" si="8"/>
        <v>813843.35008016846</v>
      </c>
      <c r="F27" s="107">
        <f t="shared" si="0"/>
        <v>519855.21851565951</v>
      </c>
      <c r="G27" s="108">
        <f t="shared" si="1"/>
        <v>293988.13156450895</v>
      </c>
      <c r="H27" s="109">
        <v>0</v>
      </c>
      <c r="I27" s="110">
        <f t="shared" si="3"/>
        <v>519855.21851565951</v>
      </c>
      <c r="J27" s="117">
        <f t="shared" si="4"/>
        <v>293988.13156450895</v>
      </c>
      <c r="K27" s="120">
        <f t="shared" si="11"/>
        <v>3465902.1283336673</v>
      </c>
      <c r="L27" s="92">
        <f t="shared" si="6"/>
        <v>81.66336987903027</v>
      </c>
      <c r="M27" s="98">
        <f t="shared" si="9"/>
        <v>0.36123429838868787</v>
      </c>
      <c r="N27" s="99">
        <f t="shared" si="10"/>
        <v>25</v>
      </c>
      <c r="O27" s="15"/>
      <c r="P27" s="39"/>
      <c r="Q27" s="2"/>
      <c r="R27" s="2"/>
      <c r="S27" s="11"/>
    </row>
    <row r="28" spans="1:25" x14ac:dyDescent="0.2">
      <c r="D28" s="144">
        <f t="shared" si="7"/>
        <v>26</v>
      </c>
      <c r="E28" s="106">
        <f t="shared" si="8"/>
        <v>838258.65058257349</v>
      </c>
      <c r="F28" s="107">
        <f t="shared" si="0"/>
        <v>535450.8750711293</v>
      </c>
      <c r="G28" s="108">
        <f t="shared" si="1"/>
        <v>302807.7755114442</v>
      </c>
      <c r="H28" s="109">
        <v>0</v>
      </c>
      <c r="I28" s="110">
        <f t="shared" si="3"/>
        <v>535450.8750711293</v>
      </c>
      <c r="J28" s="117">
        <f t="shared" si="4"/>
        <v>302807.7755114442</v>
      </c>
      <c r="K28" s="120">
        <f t="shared" si="11"/>
        <v>3768709.9038451114</v>
      </c>
      <c r="L28" s="92">
        <f t="shared" si="6"/>
        <v>84.113270975401164</v>
      </c>
      <c r="M28" s="98">
        <f t="shared" si="9"/>
        <v>0.36123429838868787</v>
      </c>
      <c r="N28" s="99">
        <f t="shared" si="10"/>
        <v>26</v>
      </c>
      <c r="O28" s="15"/>
      <c r="P28" s="39"/>
      <c r="Q28" s="2"/>
      <c r="R28" s="2"/>
      <c r="S28" s="11"/>
    </row>
    <row r="29" spans="1:25" x14ac:dyDescent="0.2">
      <c r="D29" s="144">
        <f t="shared" si="7"/>
        <v>27</v>
      </c>
      <c r="E29" s="106">
        <f t="shared" si="8"/>
        <v>863406.41010005074</v>
      </c>
      <c r="F29" s="107">
        <f t="shared" si="0"/>
        <v>551514.40132326318</v>
      </c>
      <c r="G29" s="108">
        <f t="shared" si="1"/>
        <v>311892.00877678755</v>
      </c>
      <c r="H29" s="109">
        <v>0</v>
      </c>
      <c r="I29" s="110">
        <f t="shared" si="3"/>
        <v>551514.40132326318</v>
      </c>
      <c r="J29" s="117">
        <f t="shared" si="4"/>
        <v>311892.00877678755</v>
      </c>
      <c r="K29" s="120">
        <f t="shared" si="11"/>
        <v>4080601.912621899</v>
      </c>
      <c r="L29" s="92">
        <f t="shared" si="6"/>
        <v>86.636669104663213</v>
      </c>
      <c r="M29" s="98">
        <f t="shared" si="9"/>
        <v>0.36123429838868787</v>
      </c>
      <c r="N29" s="99">
        <f t="shared" si="10"/>
        <v>27</v>
      </c>
      <c r="O29" s="15"/>
      <c r="P29" s="39"/>
      <c r="Q29" s="2"/>
      <c r="R29" s="2"/>
      <c r="S29" s="11"/>
    </row>
    <row r="30" spans="1:25" x14ac:dyDescent="0.2">
      <c r="D30" s="144">
        <f t="shared" si="7"/>
        <v>28</v>
      </c>
      <c r="E30" s="106">
        <f t="shared" si="8"/>
        <v>889308.60240305227</v>
      </c>
      <c r="F30" s="107">
        <f t="shared" si="0"/>
        <v>568059.83336296107</v>
      </c>
      <c r="G30" s="108">
        <f t="shared" si="1"/>
        <v>321248.7690400912</v>
      </c>
      <c r="H30" s="109">
        <v>0</v>
      </c>
      <c r="I30" s="110">
        <f t="shared" si="3"/>
        <v>568059.83336296107</v>
      </c>
      <c r="J30" s="117">
        <f t="shared" si="4"/>
        <v>321248.7690400912</v>
      </c>
      <c r="K30" s="120">
        <f t="shared" si="11"/>
        <v>4401850.6816619905</v>
      </c>
      <c r="L30" s="92">
        <f t="shared" si="6"/>
        <v>89.235769177803107</v>
      </c>
      <c r="M30" s="98">
        <f t="shared" si="9"/>
        <v>0.36123429838868792</v>
      </c>
      <c r="N30" s="99">
        <f t="shared" si="10"/>
        <v>28</v>
      </c>
      <c r="O30" s="15"/>
      <c r="P30" s="39"/>
      <c r="Q30" s="2"/>
      <c r="R30" s="2"/>
      <c r="S30" s="11"/>
    </row>
    <row r="31" spans="1:25" ht="16" thickBot="1" x14ac:dyDescent="0.25">
      <c r="D31" s="144">
        <f t="shared" si="7"/>
        <v>29</v>
      </c>
      <c r="E31" s="106">
        <f t="shared" si="8"/>
        <v>915987.86047514388</v>
      </c>
      <c r="F31" s="107">
        <f t="shared" si="0"/>
        <v>585101.62836384994</v>
      </c>
      <c r="G31" s="108">
        <f t="shared" si="1"/>
        <v>330886.23211129394</v>
      </c>
      <c r="H31" s="109">
        <v>0</v>
      </c>
      <c r="I31" s="110">
        <f t="shared" si="3"/>
        <v>585101.62836384994</v>
      </c>
      <c r="J31" s="122">
        <f t="shared" si="4"/>
        <v>330886.23211129394</v>
      </c>
      <c r="K31" s="118">
        <f t="shared" si="11"/>
        <v>4732736.9137732843</v>
      </c>
      <c r="L31" s="95">
        <f t="shared" si="6"/>
        <v>91.9128422531372</v>
      </c>
      <c r="M31" s="98">
        <f t="shared" si="9"/>
        <v>0.36123429838868787</v>
      </c>
      <c r="N31" s="99">
        <f t="shared" si="10"/>
        <v>29</v>
      </c>
      <c r="O31" s="15"/>
      <c r="P31" s="39"/>
      <c r="Q31" s="2"/>
      <c r="R31" s="2"/>
      <c r="S31" s="11"/>
    </row>
    <row r="32" spans="1:25" ht="16" thickBot="1" x14ac:dyDescent="0.25">
      <c r="A32" s="42" t="s">
        <v>34</v>
      </c>
      <c r="B32" s="82">
        <f>K18</f>
        <v>1108207.8058096461</v>
      </c>
      <c r="C32" s="56"/>
      <c r="D32" s="161">
        <v>30</v>
      </c>
      <c r="E32" s="131">
        <f t="shared" si="8"/>
        <v>943467.49628939817</v>
      </c>
      <c r="F32" s="132">
        <f t="shared" si="0"/>
        <v>602654.67721476546</v>
      </c>
      <c r="G32" s="133">
        <f t="shared" si="1"/>
        <v>340812.81907463277</v>
      </c>
      <c r="H32" s="134">
        <v>0</v>
      </c>
      <c r="I32" s="135">
        <f t="shared" si="3"/>
        <v>602654.67721476546</v>
      </c>
      <c r="J32" s="123">
        <f t="shared" si="4"/>
        <v>340812.81907463277</v>
      </c>
      <c r="K32" s="120">
        <f t="shared" si="11"/>
        <v>5073549.7328479169</v>
      </c>
      <c r="L32" s="96">
        <f t="shared" ref="L32" si="12">J32/$B$3</f>
        <v>94.670227520731331</v>
      </c>
      <c r="M32" s="98">
        <f t="shared" si="9"/>
        <v>0.36123429838868792</v>
      </c>
      <c r="N32" s="100">
        <v>30</v>
      </c>
      <c r="O32" s="40"/>
      <c r="P32" s="41"/>
      <c r="Q32" s="2"/>
      <c r="R32" s="2"/>
      <c r="S32" s="11"/>
    </row>
    <row r="33" spans="1:18" ht="16" thickBot="1" x14ac:dyDescent="0.25">
      <c r="A33" s="43" t="s">
        <v>11</v>
      </c>
      <c r="B33" s="44"/>
      <c r="C33" s="45"/>
      <c r="D33" s="46"/>
      <c r="E33" s="47"/>
      <c r="F33" s="47"/>
      <c r="G33" s="48"/>
      <c r="H33" s="49"/>
      <c r="I33" s="49"/>
      <c r="J33" s="124"/>
      <c r="K33" s="125">
        <f>K32</f>
        <v>5073549.7328479169</v>
      </c>
      <c r="L33" s="49"/>
      <c r="M33" s="49"/>
      <c r="N33" s="51"/>
      <c r="O33" s="40"/>
      <c r="P33" s="41"/>
      <c r="Q33" s="2"/>
      <c r="R33" s="2"/>
    </row>
    <row r="35" spans="1:18" ht="17" customHeight="1" x14ac:dyDescent="0.2">
      <c r="N35" s="12"/>
      <c r="O35" s="12"/>
      <c r="P35" s="12"/>
      <c r="Q35" s="12"/>
      <c r="R35" s="12"/>
    </row>
  </sheetData>
  <mergeCells count="1">
    <mergeCell ref="D1:P1"/>
  </mergeCells>
  <pageMargins left="0.7" right="0.7" top="0.75" bottom="0.75" header="0.3" footer="0.3"/>
  <pageSetup scale="87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58E90-2644-435F-A34C-48BC94DD0E08}">
  <sheetPr>
    <pageSetUpPr fitToPage="1"/>
  </sheetPr>
  <dimension ref="A1:AA35"/>
  <sheetViews>
    <sheetView zoomScale="89" zoomScaleNormal="120" workbookViewId="0">
      <selection activeCell="T12" sqref="T12"/>
    </sheetView>
  </sheetViews>
  <sheetFormatPr baseColWidth="10" defaultColWidth="8.83203125" defaultRowHeight="15" x14ac:dyDescent="0.2"/>
  <cols>
    <col min="1" max="1" width="37.6640625" customWidth="1"/>
    <col min="2" max="2" width="14.33203125" customWidth="1"/>
    <col min="3" max="3" width="4.1640625" customWidth="1"/>
    <col min="4" max="4" width="6.1640625" customWidth="1"/>
    <col min="5" max="5" width="15.1640625" customWidth="1"/>
    <col min="6" max="6" width="16.1640625" customWidth="1"/>
    <col min="7" max="7" width="17.1640625" style="3" customWidth="1"/>
    <col min="8" max="8" width="18.5" style="8" customWidth="1"/>
    <col min="9" max="10" width="19.1640625" style="8" customWidth="1"/>
    <col min="11" max="13" width="16" style="8" customWidth="1"/>
    <col min="14" max="14" width="4.6640625" customWidth="1"/>
    <col min="15" max="15" width="4.6640625" hidden="1" customWidth="1"/>
    <col min="16" max="16" width="2" hidden="1" customWidth="1"/>
    <col min="17" max="18" width="4.6640625" customWidth="1"/>
    <col min="19" max="19" width="11.5" bestFit="1" customWidth="1"/>
    <col min="20" max="20" width="13.1640625" bestFit="1" customWidth="1"/>
    <col min="21" max="21" width="11.5" bestFit="1" customWidth="1"/>
    <col min="22" max="22" width="5.1640625" bestFit="1" customWidth="1"/>
    <col min="23" max="23" width="11.5" bestFit="1" customWidth="1"/>
    <col min="24" max="24" width="14.1640625" bestFit="1" customWidth="1"/>
    <col min="25" max="25" width="8.83203125" style="13"/>
    <col min="26" max="26" width="9.83203125" bestFit="1" customWidth="1"/>
  </cols>
  <sheetData>
    <row r="1" spans="1:27" ht="47" customHeight="1" thickBot="1" x14ac:dyDescent="0.25">
      <c r="A1" s="27"/>
      <c r="B1" s="30" t="s">
        <v>36</v>
      </c>
      <c r="D1" s="86" t="s">
        <v>28</v>
      </c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8"/>
    </row>
    <row r="2" spans="1:27" s="1" customFormat="1" ht="64" customHeight="1" thickBot="1" x14ac:dyDescent="0.25">
      <c r="A2" s="24" t="s">
        <v>18</v>
      </c>
      <c r="D2" s="31" t="s">
        <v>0</v>
      </c>
      <c r="E2" s="102" t="s">
        <v>21</v>
      </c>
      <c r="F2" s="90" t="s">
        <v>22</v>
      </c>
      <c r="G2" s="32" t="s">
        <v>5</v>
      </c>
      <c r="H2" s="89" t="s">
        <v>37</v>
      </c>
      <c r="I2" s="103" t="s">
        <v>23</v>
      </c>
      <c r="J2" s="104" t="s">
        <v>12</v>
      </c>
      <c r="K2" s="36" t="s">
        <v>1</v>
      </c>
      <c r="L2" s="91" t="s">
        <v>7</v>
      </c>
      <c r="M2" s="97" t="s">
        <v>31</v>
      </c>
      <c r="N2" s="114" t="s">
        <v>0</v>
      </c>
      <c r="P2" s="38"/>
      <c r="Y2" s="14"/>
    </row>
    <row r="3" spans="1:27" ht="16" thickBot="1" x14ac:dyDescent="0.25">
      <c r="A3" s="29" t="s">
        <v>10</v>
      </c>
      <c r="B3" s="62">
        <v>3600</v>
      </c>
      <c r="C3" s="2"/>
      <c r="D3" s="143">
        <v>1</v>
      </c>
      <c r="E3" s="147">
        <v>400357</v>
      </c>
      <c r="F3" s="154">
        <f>E3-G3</f>
        <v>255734.32</v>
      </c>
      <c r="G3" s="140">
        <f>B9</f>
        <v>144622.68</v>
      </c>
      <c r="H3" s="128">
        <f>B9</f>
        <v>144622.68</v>
      </c>
      <c r="I3" s="149">
        <f>E3</f>
        <v>400357</v>
      </c>
      <c r="J3" s="150">
        <f>(H3-$B$9)/$B$9</f>
        <v>0</v>
      </c>
      <c r="K3" s="136">
        <f>J3</f>
        <v>0</v>
      </c>
      <c r="L3" s="157">
        <v>0</v>
      </c>
      <c r="M3" s="158"/>
      <c r="N3" s="101">
        <v>1</v>
      </c>
      <c r="O3" s="15"/>
      <c r="P3" s="39"/>
      <c r="Q3" s="15"/>
      <c r="R3" s="15"/>
      <c r="S3" s="11"/>
      <c r="T3" s="16"/>
      <c r="Y3" s="17"/>
    </row>
    <row r="4" spans="1:27" ht="16" thickBot="1" x14ac:dyDescent="0.25">
      <c r="C4" s="2"/>
      <c r="D4" s="144">
        <f>D3+1</f>
        <v>2</v>
      </c>
      <c r="E4" s="106">
        <f>E3*1.03</f>
        <v>412367.71</v>
      </c>
      <c r="F4" s="107">
        <f t="shared" ref="F4:F32" si="0">E4-G4</f>
        <v>263406.34960000002</v>
      </c>
      <c r="G4" s="108">
        <f t="shared" ref="G4:G32" si="1">G3*(1+$B$24)</f>
        <v>148961.36040000001</v>
      </c>
      <c r="H4" s="109">
        <f t="shared" ref="H4:H32" si="2">G4*$B$20</f>
        <v>52136.476139999999</v>
      </c>
      <c r="I4" s="110">
        <f t="shared" ref="I4:I32" si="3">F4+H4</f>
        <v>315542.82574</v>
      </c>
      <c r="J4" s="151">
        <f t="shared" ref="J4:J32" si="4">G4-H4</f>
        <v>96824.884260000006</v>
      </c>
      <c r="K4" s="79">
        <f t="shared" ref="K4:K32" si="5">J4+K3</f>
        <v>96824.884260000006</v>
      </c>
      <c r="L4" s="92">
        <f t="shared" ref="L4:L32" si="6">J4/$B$3</f>
        <v>26.895801183333337</v>
      </c>
      <c r="M4" s="98">
        <f>J4/E4</f>
        <v>0.23480229395264726</v>
      </c>
      <c r="N4" s="99">
        <f>N3+1</f>
        <v>2</v>
      </c>
      <c r="O4" s="15"/>
      <c r="P4" s="39"/>
      <c r="Q4" s="15"/>
      <c r="R4" s="15"/>
      <c r="S4" s="11"/>
      <c r="T4" s="18"/>
      <c r="Y4" s="17"/>
      <c r="AA4" s="11"/>
    </row>
    <row r="5" spans="1:27" ht="16" thickBot="1" x14ac:dyDescent="0.25">
      <c r="A5" s="10" t="s">
        <v>6</v>
      </c>
      <c r="B5" s="63">
        <v>1000</v>
      </c>
      <c r="C5" s="4"/>
      <c r="D5" s="144">
        <f t="shared" ref="D5:D31" si="7">D4+1</f>
        <v>3</v>
      </c>
      <c r="E5" s="106">
        <f t="shared" ref="E5:E32" si="8">E4*1.03</f>
        <v>424738.74130000005</v>
      </c>
      <c r="F5" s="107">
        <f t="shared" si="0"/>
        <v>271308.54008800001</v>
      </c>
      <c r="G5" s="108">
        <f t="shared" si="1"/>
        <v>153430.20121200001</v>
      </c>
      <c r="H5" s="109">
        <f t="shared" si="2"/>
        <v>53700.570424199999</v>
      </c>
      <c r="I5" s="110">
        <f t="shared" si="3"/>
        <v>325009.11051219999</v>
      </c>
      <c r="J5" s="151">
        <f t="shared" si="4"/>
        <v>99729.630787800008</v>
      </c>
      <c r="K5" s="79">
        <f t="shared" si="5"/>
        <v>196554.51504780003</v>
      </c>
      <c r="L5" s="92">
        <f t="shared" si="6"/>
        <v>27.702675218833335</v>
      </c>
      <c r="M5" s="98">
        <f t="shared" ref="M5:M32" si="9">J5/E5</f>
        <v>0.23480229395264726</v>
      </c>
      <c r="N5" s="99">
        <f t="shared" ref="N5:N31" si="10">N4+1</f>
        <v>3</v>
      </c>
      <c r="O5" s="15"/>
      <c r="P5" s="39"/>
      <c r="Q5" s="15"/>
      <c r="R5" s="15"/>
      <c r="S5" s="11"/>
      <c r="T5" s="18"/>
      <c r="Y5" s="17"/>
    </row>
    <row r="6" spans="1:27" ht="16" x14ac:dyDescent="0.2">
      <c r="A6" s="34" t="s">
        <v>16</v>
      </c>
      <c r="B6" s="64">
        <f>B7/B5</f>
        <v>1205.1890000000001</v>
      </c>
      <c r="C6" s="5"/>
      <c r="D6" s="144">
        <f t="shared" si="7"/>
        <v>4</v>
      </c>
      <c r="E6" s="106">
        <f t="shared" si="8"/>
        <v>437480.90353900008</v>
      </c>
      <c r="F6" s="107">
        <f t="shared" si="0"/>
        <v>279447.79629064002</v>
      </c>
      <c r="G6" s="108">
        <f t="shared" si="1"/>
        <v>158033.10724836003</v>
      </c>
      <c r="H6" s="109">
        <f t="shared" si="2"/>
        <v>55311.58753692601</v>
      </c>
      <c r="I6" s="110">
        <f t="shared" si="3"/>
        <v>334759.38382756605</v>
      </c>
      <c r="J6" s="151">
        <f t="shared" si="4"/>
        <v>102721.51971143403</v>
      </c>
      <c r="K6" s="79">
        <f t="shared" si="5"/>
        <v>299276.03475923405</v>
      </c>
      <c r="L6" s="92">
        <f t="shared" si="6"/>
        <v>28.53375547539834</v>
      </c>
      <c r="M6" s="98">
        <f t="shared" si="9"/>
        <v>0.23480229395264729</v>
      </c>
      <c r="N6" s="99">
        <f t="shared" si="10"/>
        <v>4</v>
      </c>
      <c r="O6" s="15"/>
      <c r="P6" s="39"/>
      <c r="Q6" s="15"/>
      <c r="R6" s="15"/>
      <c r="S6" s="11"/>
      <c r="Y6" s="17"/>
    </row>
    <row r="7" spans="1:27" x14ac:dyDescent="0.2">
      <c r="A7" s="10" t="s">
        <v>15</v>
      </c>
      <c r="B7" s="65">
        <v>1205189</v>
      </c>
      <c r="D7" s="144">
        <f t="shared" si="7"/>
        <v>5</v>
      </c>
      <c r="E7" s="106">
        <f t="shared" si="8"/>
        <v>450605.33064517012</v>
      </c>
      <c r="F7" s="107">
        <f t="shared" si="0"/>
        <v>287831.23017935932</v>
      </c>
      <c r="G7" s="108">
        <f t="shared" si="1"/>
        <v>162774.10046581083</v>
      </c>
      <c r="H7" s="109">
        <f t="shared" si="2"/>
        <v>56970.935163033784</v>
      </c>
      <c r="I7" s="110">
        <f t="shared" si="3"/>
        <v>344802.1653423931</v>
      </c>
      <c r="J7" s="151">
        <f t="shared" si="4"/>
        <v>105803.16530277705</v>
      </c>
      <c r="K7" s="79">
        <f t="shared" si="5"/>
        <v>405079.20006201114</v>
      </c>
      <c r="L7" s="92">
        <f t="shared" si="6"/>
        <v>29.389768139660291</v>
      </c>
      <c r="M7" s="98">
        <f t="shared" si="9"/>
        <v>0.23480229395264726</v>
      </c>
      <c r="N7" s="99">
        <f t="shared" si="10"/>
        <v>5</v>
      </c>
      <c r="O7" s="15"/>
      <c r="P7" s="39"/>
      <c r="Q7" s="15"/>
      <c r="R7" s="15"/>
      <c r="S7" s="11"/>
      <c r="Y7" s="17"/>
    </row>
    <row r="8" spans="1:27" x14ac:dyDescent="0.2">
      <c r="A8" s="10" t="s">
        <v>2</v>
      </c>
      <c r="B8" s="66">
        <v>0.12</v>
      </c>
      <c r="C8" s="3"/>
      <c r="D8" s="144">
        <f t="shared" si="7"/>
        <v>6</v>
      </c>
      <c r="E8" s="106">
        <f t="shared" si="8"/>
        <v>464123.49056452524</v>
      </c>
      <c r="F8" s="107">
        <f t="shared" si="0"/>
        <v>296466.16708474013</v>
      </c>
      <c r="G8" s="108">
        <f t="shared" si="1"/>
        <v>167657.32347978515</v>
      </c>
      <c r="H8" s="109">
        <f t="shared" si="2"/>
        <v>58680.063217924799</v>
      </c>
      <c r="I8" s="110">
        <f t="shared" si="3"/>
        <v>355146.23030266492</v>
      </c>
      <c r="J8" s="151">
        <f t="shared" si="4"/>
        <v>108977.26026186036</v>
      </c>
      <c r="K8" s="79">
        <f t="shared" si="5"/>
        <v>514056.46032387146</v>
      </c>
      <c r="L8" s="92">
        <f t="shared" si="6"/>
        <v>30.2714611838501</v>
      </c>
      <c r="M8" s="98">
        <f t="shared" si="9"/>
        <v>0.23480229395264723</v>
      </c>
      <c r="N8" s="99">
        <f t="shared" si="10"/>
        <v>6</v>
      </c>
      <c r="O8" s="15"/>
      <c r="P8" s="39"/>
      <c r="Q8" s="15"/>
      <c r="R8" s="15"/>
      <c r="S8" s="11"/>
      <c r="Y8" s="17"/>
    </row>
    <row r="9" spans="1:27" x14ac:dyDescent="0.2">
      <c r="A9" s="10" t="s">
        <v>17</v>
      </c>
      <c r="B9" s="67">
        <f>B5*B6*B8</f>
        <v>144622.68</v>
      </c>
      <c r="C9" s="3"/>
      <c r="D9" s="144">
        <f t="shared" si="7"/>
        <v>7</v>
      </c>
      <c r="E9" s="106">
        <f t="shared" si="8"/>
        <v>478047.195281461</v>
      </c>
      <c r="F9" s="107">
        <f t="shared" si="0"/>
        <v>305360.15209728229</v>
      </c>
      <c r="G9" s="108">
        <f t="shared" si="1"/>
        <v>172687.04318417871</v>
      </c>
      <c r="H9" s="109">
        <f t="shared" si="2"/>
        <v>60440.465114462546</v>
      </c>
      <c r="I9" s="110">
        <f t="shared" si="3"/>
        <v>365800.61721174483</v>
      </c>
      <c r="J9" s="151">
        <f t="shared" si="4"/>
        <v>112246.57806971617</v>
      </c>
      <c r="K9" s="79">
        <f t="shared" si="5"/>
        <v>626303.03839358757</v>
      </c>
      <c r="L9" s="92">
        <f t="shared" si="6"/>
        <v>31.179605019365603</v>
      </c>
      <c r="M9" s="98">
        <f t="shared" si="9"/>
        <v>0.23480229395264726</v>
      </c>
      <c r="N9" s="99">
        <f t="shared" si="10"/>
        <v>7</v>
      </c>
      <c r="O9" s="15"/>
      <c r="P9" s="39"/>
      <c r="Q9" s="15"/>
      <c r="R9" s="15"/>
      <c r="S9" s="11"/>
      <c r="U9" s="23">
        <f>B13/2</f>
        <v>1166500</v>
      </c>
      <c r="Y9" s="17"/>
    </row>
    <row r="10" spans="1:27" x14ac:dyDescent="0.2">
      <c r="C10" s="3"/>
      <c r="D10" s="144">
        <f t="shared" si="7"/>
        <v>8</v>
      </c>
      <c r="E10" s="106">
        <f t="shared" si="8"/>
        <v>492388.61113990482</v>
      </c>
      <c r="F10" s="107">
        <f t="shared" si="0"/>
        <v>314520.95666020073</v>
      </c>
      <c r="G10" s="108">
        <f t="shared" si="1"/>
        <v>177867.65447970407</v>
      </c>
      <c r="H10" s="109">
        <f t="shared" si="2"/>
        <v>62253.679067896417</v>
      </c>
      <c r="I10" s="110">
        <f t="shared" si="3"/>
        <v>376774.63572809717</v>
      </c>
      <c r="J10" s="151">
        <f t="shared" si="4"/>
        <v>115613.97541180765</v>
      </c>
      <c r="K10" s="79">
        <f t="shared" si="5"/>
        <v>741917.01380539523</v>
      </c>
      <c r="L10" s="92">
        <f t="shared" si="6"/>
        <v>32.114993169946572</v>
      </c>
      <c r="M10" s="98">
        <f t="shared" si="9"/>
        <v>0.23480229395264726</v>
      </c>
      <c r="N10" s="99">
        <f t="shared" si="10"/>
        <v>8</v>
      </c>
      <c r="O10" s="15"/>
      <c r="P10" s="39"/>
      <c r="Q10" s="15"/>
      <c r="R10" s="15"/>
      <c r="S10" s="11"/>
      <c r="Y10" s="17"/>
    </row>
    <row r="11" spans="1:27" x14ac:dyDescent="0.2">
      <c r="C11" s="3"/>
      <c r="D11" s="144">
        <f t="shared" si="7"/>
        <v>9</v>
      </c>
      <c r="E11" s="106">
        <f t="shared" si="8"/>
        <v>507160.26947410201</v>
      </c>
      <c r="F11" s="107">
        <f t="shared" si="0"/>
        <v>323956.58536000678</v>
      </c>
      <c r="G11" s="108">
        <f t="shared" si="1"/>
        <v>183203.6841140952</v>
      </c>
      <c r="H11" s="109">
        <f t="shared" si="2"/>
        <v>64121.289439933316</v>
      </c>
      <c r="I11" s="110">
        <f t="shared" si="3"/>
        <v>388077.87479994009</v>
      </c>
      <c r="J11" s="151">
        <f t="shared" si="4"/>
        <v>119082.39467416189</v>
      </c>
      <c r="K11" s="79">
        <f t="shared" si="5"/>
        <v>860999.40847955714</v>
      </c>
      <c r="L11" s="92">
        <f t="shared" si="6"/>
        <v>33.078442965044971</v>
      </c>
      <c r="M11" s="98">
        <f t="shared" si="9"/>
        <v>0.23480229395264723</v>
      </c>
      <c r="N11" s="99">
        <f t="shared" si="10"/>
        <v>9</v>
      </c>
      <c r="O11" s="15"/>
      <c r="P11" s="39"/>
      <c r="Q11" s="15"/>
      <c r="R11" s="15"/>
      <c r="S11" s="11"/>
      <c r="Y11" s="17"/>
    </row>
    <row r="12" spans="1:27" x14ac:dyDescent="0.2">
      <c r="A12" s="10" t="s">
        <v>3</v>
      </c>
      <c r="B12" s="25">
        <v>2333</v>
      </c>
      <c r="C12" s="9"/>
      <c r="D12" s="144">
        <f t="shared" si="7"/>
        <v>10</v>
      </c>
      <c r="E12" s="106">
        <f t="shared" si="8"/>
        <v>522375.07755832508</v>
      </c>
      <c r="F12" s="107">
        <f t="shared" si="0"/>
        <v>333675.28292080702</v>
      </c>
      <c r="G12" s="108">
        <f t="shared" si="1"/>
        <v>188699.79463751806</v>
      </c>
      <c r="H12" s="109">
        <f t="shared" si="2"/>
        <v>66044.928123131322</v>
      </c>
      <c r="I12" s="110">
        <f t="shared" si="3"/>
        <v>399720.21104393835</v>
      </c>
      <c r="J12" s="151">
        <f t="shared" si="4"/>
        <v>122654.86651438674</v>
      </c>
      <c r="K12" s="79">
        <f t="shared" si="5"/>
        <v>983654.27499394387</v>
      </c>
      <c r="L12" s="92">
        <f t="shared" si="6"/>
        <v>34.070796253996313</v>
      </c>
      <c r="M12" s="98">
        <f t="shared" si="9"/>
        <v>0.23480229395264723</v>
      </c>
      <c r="N12" s="99">
        <f t="shared" si="10"/>
        <v>10</v>
      </c>
      <c r="O12" s="15"/>
      <c r="P12" s="39"/>
      <c r="Q12" s="15"/>
      <c r="R12" s="15"/>
      <c r="S12" s="11"/>
      <c r="W12" s="19"/>
      <c r="Y12" s="17"/>
      <c r="Z12" s="20"/>
    </row>
    <row r="13" spans="1:27" x14ac:dyDescent="0.2">
      <c r="A13" s="10" t="s">
        <v>4</v>
      </c>
      <c r="B13" s="25">
        <f>B12*B5</f>
        <v>2333000</v>
      </c>
      <c r="C13" s="3"/>
      <c r="D13" s="144">
        <f t="shared" si="7"/>
        <v>11</v>
      </c>
      <c r="E13" s="106">
        <f t="shared" si="8"/>
        <v>538046.32988507487</v>
      </c>
      <c r="F13" s="107">
        <f t="shared" si="0"/>
        <v>343685.54140843125</v>
      </c>
      <c r="G13" s="108">
        <f t="shared" si="1"/>
        <v>194360.78847664362</v>
      </c>
      <c r="H13" s="109">
        <f t="shared" si="2"/>
        <v>68026.275966825269</v>
      </c>
      <c r="I13" s="110">
        <f t="shared" si="3"/>
        <v>411711.81737525651</v>
      </c>
      <c r="J13" s="151">
        <f t="shared" si="4"/>
        <v>126334.51250981835</v>
      </c>
      <c r="K13" s="79">
        <f t="shared" si="5"/>
        <v>1109988.7875037622</v>
      </c>
      <c r="L13" s="92">
        <f t="shared" si="6"/>
        <v>35.092920141616212</v>
      </c>
      <c r="M13" s="98">
        <f t="shared" si="9"/>
        <v>0.23480229395264723</v>
      </c>
      <c r="N13" s="99">
        <f t="shared" si="10"/>
        <v>11</v>
      </c>
      <c r="O13" s="15"/>
      <c r="P13" s="39"/>
      <c r="Q13" s="15"/>
      <c r="R13" s="15"/>
      <c r="S13" s="11"/>
      <c r="Y13" s="17"/>
    </row>
    <row r="14" spans="1:27" ht="16" thickBot="1" x14ac:dyDescent="0.25">
      <c r="A14" s="10"/>
      <c r="B14" s="3"/>
      <c r="C14" s="3"/>
      <c r="D14" s="144">
        <f t="shared" si="7"/>
        <v>12</v>
      </c>
      <c r="E14" s="106">
        <f t="shared" si="8"/>
        <v>554187.71978162718</v>
      </c>
      <c r="F14" s="107">
        <f t="shared" si="0"/>
        <v>353996.10765068425</v>
      </c>
      <c r="G14" s="108">
        <f t="shared" si="1"/>
        <v>200191.61213094293</v>
      </c>
      <c r="H14" s="109">
        <f t="shared" si="2"/>
        <v>70067.064245830014</v>
      </c>
      <c r="I14" s="110">
        <f t="shared" si="3"/>
        <v>424063.17189651425</v>
      </c>
      <c r="J14" s="151">
        <f t="shared" si="4"/>
        <v>130124.54788511292</v>
      </c>
      <c r="K14" s="79">
        <f t="shared" si="5"/>
        <v>1240113.3353888751</v>
      </c>
      <c r="L14" s="92">
        <f t="shared" si="6"/>
        <v>36.145707745864698</v>
      </c>
      <c r="M14" s="98">
        <f t="shared" si="9"/>
        <v>0.23480229395264723</v>
      </c>
      <c r="N14" s="99">
        <f t="shared" si="10"/>
        <v>12</v>
      </c>
      <c r="O14" s="15"/>
      <c r="P14" s="39"/>
      <c r="Q14" s="15"/>
      <c r="R14" s="15"/>
      <c r="S14" s="11"/>
      <c r="Y14" s="17"/>
    </row>
    <row r="15" spans="1:27" ht="16" thickBot="1" x14ac:dyDescent="0.25">
      <c r="A15" s="26" t="s">
        <v>24</v>
      </c>
      <c r="B15" s="68">
        <f>B5*862</f>
        <v>862000</v>
      </c>
      <c r="C15" s="3"/>
      <c r="D15" s="144">
        <f t="shared" si="7"/>
        <v>13</v>
      </c>
      <c r="E15" s="106">
        <f t="shared" si="8"/>
        <v>570813.35137507599</v>
      </c>
      <c r="F15" s="107">
        <f t="shared" si="0"/>
        <v>364615.99088020477</v>
      </c>
      <c r="G15" s="108">
        <f t="shared" si="1"/>
        <v>206197.36049487122</v>
      </c>
      <c r="H15" s="109">
        <f t="shared" si="2"/>
        <v>72169.076173204914</v>
      </c>
      <c r="I15" s="110">
        <f t="shared" si="3"/>
        <v>436785.0670534097</v>
      </c>
      <c r="J15" s="151">
        <f t="shared" si="4"/>
        <v>134028.28432166629</v>
      </c>
      <c r="K15" s="79">
        <f t="shared" si="5"/>
        <v>1374141.6197105413</v>
      </c>
      <c r="L15" s="92">
        <f t="shared" si="6"/>
        <v>37.230078978240634</v>
      </c>
      <c r="M15" s="98">
        <f t="shared" si="9"/>
        <v>0.23480229395264721</v>
      </c>
      <c r="N15" s="99">
        <f t="shared" si="10"/>
        <v>13</v>
      </c>
      <c r="O15" s="15"/>
      <c r="P15" s="39"/>
      <c r="Q15" s="15"/>
      <c r="R15" s="15"/>
      <c r="S15" s="11"/>
      <c r="Y15" s="17"/>
      <c r="Z15" s="21"/>
    </row>
    <row r="16" spans="1:27" ht="16" thickBot="1" x14ac:dyDescent="0.25">
      <c r="A16" s="26" t="s">
        <v>25</v>
      </c>
      <c r="B16" s="68">
        <f>(B13-B15)*0.3</f>
        <v>441300</v>
      </c>
      <c r="C16" s="3"/>
      <c r="D16" s="144">
        <f t="shared" si="7"/>
        <v>14</v>
      </c>
      <c r="E16" s="106">
        <f t="shared" si="8"/>
        <v>587937.75191632833</v>
      </c>
      <c r="F16" s="107">
        <f t="shared" si="0"/>
        <v>375554.47060661099</v>
      </c>
      <c r="G16" s="108">
        <f t="shared" si="1"/>
        <v>212383.28130971736</v>
      </c>
      <c r="H16" s="109">
        <f t="shared" si="2"/>
        <v>74334.148458401076</v>
      </c>
      <c r="I16" s="110">
        <f t="shared" si="3"/>
        <v>449888.61906501208</v>
      </c>
      <c r="J16" s="151">
        <f t="shared" si="4"/>
        <v>138049.1328513163</v>
      </c>
      <c r="K16" s="79">
        <f t="shared" si="5"/>
        <v>1512190.7525618577</v>
      </c>
      <c r="L16" s="92">
        <f t="shared" si="6"/>
        <v>38.346981347587864</v>
      </c>
      <c r="M16" s="98">
        <f t="shared" si="9"/>
        <v>0.23480229395264723</v>
      </c>
      <c r="N16" s="99">
        <f t="shared" si="10"/>
        <v>14</v>
      </c>
      <c r="O16" s="15"/>
      <c r="P16" s="39"/>
      <c r="Q16" s="15"/>
      <c r="R16" s="15"/>
      <c r="S16" s="11"/>
      <c r="Y16" s="17"/>
      <c r="Z16" s="22"/>
    </row>
    <row r="17" spans="1:25" x14ac:dyDescent="0.2">
      <c r="A17" s="10"/>
      <c r="B17" s="3"/>
      <c r="C17" s="3"/>
      <c r="D17" s="144">
        <f t="shared" si="7"/>
        <v>15</v>
      </c>
      <c r="E17" s="106">
        <f t="shared" si="8"/>
        <v>605575.88447381824</v>
      </c>
      <c r="F17" s="107">
        <f t="shared" si="0"/>
        <v>386821.10472480935</v>
      </c>
      <c r="G17" s="108">
        <f t="shared" si="1"/>
        <v>218754.77974900889</v>
      </c>
      <c r="H17" s="109">
        <f t="shared" si="2"/>
        <v>76564.17291215311</v>
      </c>
      <c r="I17" s="110">
        <f t="shared" si="3"/>
        <v>463385.27763696248</v>
      </c>
      <c r="J17" s="151">
        <f t="shared" si="4"/>
        <v>142190.60683685576</v>
      </c>
      <c r="K17" s="79">
        <f t="shared" si="5"/>
        <v>1654381.3593987133</v>
      </c>
      <c r="L17" s="92">
        <f t="shared" si="6"/>
        <v>39.497390788015487</v>
      </c>
      <c r="M17" s="98">
        <f t="shared" si="9"/>
        <v>0.23480229395264715</v>
      </c>
      <c r="N17" s="99">
        <f t="shared" si="10"/>
        <v>15</v>
      </c>
      <c r="O17" s="15"/>
      <c r="P17" s="39"/>
      <c r="Q17" s="15"/>
      <c r="R17" s="15"/>
      <c r="S17" s="11"/>
      <c r="Y17" s="17"/>
    </row>
    <row r="18" spans="1:25" ht="16" thickBot="1" x14ac:dyDescent="0.25">
      <c r="A18" s="10"/>
      <c r="B18" s="3"/>
      <c r="C18" s="3"/>
      <c r="D18" s="144">
        <f t="shared" si="7"/>
        <v>16</v>
      </c>
      <c r="E18" s="106">
        <f t="shared" si="8"/>
        <v>623743.16100803285</v>
      </c>
      <c r="F18" s="107">
        <f t="shared" si="0"/>
        <v>398425.73786655371</v>
      </c>
      <c r="G18" s="108">
        <f t="shared" si="1"/>
        <v>225317.42314147917</v>
      </c>
      <c r="H18" s="109">
        <f t="shared" si="2"/>
        <v>78861.098099517709</v>
      </c>
      <c r="I18" s="110">
        <f t="shared" si="3"/>
        <v>477286.8359660714</v>
      </c>
      <c r="J18" s="151">
        <f t="shared" si="4"/>
        <v>146456.32504196145</v>
      </c>
      <c r="K18" s="79">
        <f t="shared" si="5"/>
        <v>1800837.6844406747</v>
      </c>
      <c r="L18" s="92">
        <f t="shared" si="6"/>
        <v>40.682312511655958</v>
      </c>
      <c r="M18" s="98">
        <f t="shared" si="9"/>
        <v>0.23480229395264715</v>
      </c>
      <c r="N18" s="99">
        <f t="shared" si="10"/>
        <v>16</v>
      </c>
      <c r="O18" s="15"/>
      <c r="P18" s="39"/>
      <c r="Q18" s="15"/>
      <c r="R18" s="15"/>
      <c r="S18" s="11"/>
      <c r="Y18" s="17"/>
    </row>
    <row r="19" spans="1:25" ht="16" thickBot="1" x14ac:dyDescent="0.25">
      <c r="A19" s="26" t="s">
        <v>8</v>
      </c>
      <c r="B19" s="73">
        <v>1</v>
      </c>
      <c r="C19" s="3"/>
      <c r="D19" s="144">
        <f t="shared" si="7"/>
        <v>17</v>
      </c>
      <c r="E19" s="106">
        <f t="shared" si="8"/>
        <v>642455.45583827386</v>
      </c>
      <c r="F19" s="107">
        <f t="shared" si="0"/>
        <v>410378.51000255032</v>
      </c>
      <c r="G19" s="108">
        <f t="shared" si="1"/>
        <v>232076.94583572354</v>
      </c>
      <c r="H19" s="109">
        <f t="shared" si="2"/>
        <v>81226.931042503231</v>
      </c>
      <c r="I19" s="110">
        <f t="shared" si="3"/>
        <v>491605.44104505354</v>
      </c>
      <c r="J19" s="151">
        <f t="shared" si="4"/>
        <v>150850.01479322033</v>
      </c>
      <c r="K19" s="79">
        <f t="shared" si="5"/>
        <v>1951687.6992338952</v>
      </c>
      <c r="L19" s="92">
        <f t="shared" si="6"/>
        <v>41.902781887005645</v>
      </c>
      <c r="M19" s="98">
        <f t="shared" si="9"/>
        <v>0.23480229395264718</v>
      </c>
      <c r="N19" s="99">
        <f t="shared" si="10"/>
        <v>17</v>
      </c>
      <c r="O19" s="15"/>
      <c r="P19" s="39"/>
      <c r="Q19" s="15"/>
      <c r="R19" s="15"/>
      <c r="S19" s="11"/>
      <c r="Y19" s="17"/>
    </row>
    <row r="20" spans="1:25" ht="16" thickBot="1" x14ac:dyDescent="0.25">
      <c r="A20" s="60" t="s">
        <v>33</v>
      </c>
      <c r="B20" s="70">
        <v>0.35</v>
      </c>
      <c r="C20" s="3"/>
      <c r="D20" s="144">
        <f t="shared" si="7"/>
        <v>18</v>
      </c>
      <c r="E20" s="106">
        <f t="shared" si="8"/>
        <v>661729.11951342213</v>
      </c>
      <c r="F20" s="107">
        <f t="shared" si="0"/>
        <v>422689.86530262686</v>
      </c>
      <c r="G20" s="108">
        <f t="shared" si="1"/>
        <v>239039.25421079525</v>
      </c>
      <c r="H20" s="109">
        <f t="shared" si="2"/>
        <v>83663.738973778338</v>
      </c>
      <c r="I20" s="110">
        <f t="shared" si="3"/>
        <v>506353.60427640518</v>
      </c>
      <c r="J20" s="151">
        <f t="shared" si="4"/>
        <v>155375.51523701689</v>
      </c>
      <c r="K20" s="79">
        <f t="shared" si="5"/>
        <v>2107063.2144709122</v>
      </c>
      <c r="L20" s="92">
        <f t="shared" si="6"/>
        <v>43.159865343615806</v>
      </c>
      <c r="M20" s="98">
        <f t="shared" si="9"/>
        <v>0.23480229395264712</v>
      </c>
      <c r="N20" s="99">
        <f t="shared" si="10"/>
        <v>18</v>
      </c>
      <c r="O20" s="15"/>
      <c r="P20" s="39"/>
      <c r="Q20" s="15"/>
      <c r="R20" s="15"/>
      <c r="S20" s="11"/>
      <c r="Y20" s="17"/>
    </row>
    <row r="21" spans="1:25" x14ac:dyDescent="0.2">
      <c r="A21" s="10"/>
      <c r="B21" s="25"/>
      <c r="C21" s="6"/>
      <c r="D21" s="144">
        <f t="shared" si="7"/>
        <v>19</v>
      </c>
      <c r="E21" s="106">
        <f t="shared" si="8"/>
        <v>681580.99309882487</v>
      </c>
      <c r="F21" s="107">
        <f t="shared" si="0"/>
        <v>435370.56126170576</v>
      </c>
      <c r="G21" s="108">
        <f t="shared" si="1"/>
        <v>246210.4318371191</v>
      </c>
      <c r="H21" s="109">
        <f t="shared" si="2"/>
        <v>86173.651142991686</v>
      </c>
      <c r="I21" s="110">
        <f t="shared" si="3"/>
        <v>521544.21240469743</v>
      </c>
      <c r="J21" s="151">
        <f t="shared" si="4"/>
        <v>160036.78069412743</v>
      </c>
      <c r="K21" s="79">
        <f t="shared" si="5"/>
        <v>2267099.9951650398</v>
      </c>
      <c r="L21" s="92">
        <f t="shared" si="6"/>
        <v>44.45466130392429</v>
      </c>
      <c r="M21" s="98">
        <f t="shared" si="9"/>
        <v>0.23480229395264712</v>
      </c>
      <c r="N21" s="99">
        <f t="shared" si="10"/>
        <v>19</v>
      </c>
      <c r="O21" s="15"/>
      <c r="P21" s="39"/>
      <c r="Q21" s="2"/>
      <c r="R21" s="2"/>
      <c r="S21" s="11"/>
    </row>
    <row r="22" spans="1:25" x14ac:dyDescent="0.2">
      <c r="A22" s="10"/>
      <c r="B22" s="3"/>
      <c r="C22" s="6"/>
      <c r="D22" s="144">
        <f t="shared" si="7"/>
        <v>20</v>
      </c>
      <c r="E22" s="106">
        <f t="shared" si="8"/>
        <v>702028.42289178958</v>
      </c>
      <c r="F22" s="107">
        <f t="shared" si="0"/>
        <v>448431.67809955688</v>
      </c>
      <c r="G22" s="108">
        <f t="shared" si="1"/>
        <v>253596.7447922327</v>
      </c>
      <c r="H22" s="109">
        <f t="shared" si="2"/>
        <v>88758.860677281438</v>
      </c>
      <c r="I22" s="110">
        <f t="shared" si="3"/>
        <v>537190.53877683834</v>
      </c>
      <c r="J22" s="151">
        <f t="shared" si="4"/>
        <v>164837.88411495124</v>
      </c>
      <c r="K22" s="79">
        <f t="shared" si="5"/>
        <v>2431937.8792799911</v>
      </c>
      <c r="L22" s="92">
        <f t="shared" si="6"/>
        <v>45.788301143042013</v>
      </c>
      <c r="M22" s="98">
        <f t="shared" si="9"/>
        <v>0.23480229395264712</v>
      </c>
      <c r="N22" s="99">
        <f t="shared" si="10"/>
        <v>20</v>
      </c>
      <c r="O22" s="15"/>
      <c r="P22" s="39"/>
      <c r="Q22" s="2"/>
      <c r="R22" s="2"/>
      <c r="S22" s="11"/>
    </row>
    <row r="23" spans="1:25" ht="16" thickBot="1" x14ac:dyDescent="0.25">
      <c r="A23" s="33" t="s">
        <v>13</v>
      </c>
      <c r="C23" s="3"/>
      <c r="D23" s="144">
        <f t="shared" si="7"/>
        <v>21</v>
      </c>
      <c r="E23" s="106">
        <f t="shared" si="8"/>
        <v>723089.27557854331</v>
      </c>
      <c r="F23" s="107">
        <f t="shared" si="0"/>
        <v>461884.62844254362</v>
      </c>
      <c r="G23" s="108">
        <f t="shared" si="1"/>
        <v>261204.64713599969</v>
      </c>
      <c r="H23" s="109">
        <f t="shared" si="2"/>
        <v>91421.626497599893</v>
      </c>
      <c r="I23" s="110">
        <f t="shared" si="3"/>
        <v>553306.25494014355</v>
      </c>
      <c r="J23" s="151">
        <f t="shared" si="4"/>
        <v>169783.02063839982</v>
      </c>
      <c r="K23" s="79">
        <f t="shared" si="5"/>
        <v>2601720.8999183909</v>
      </c>
      <c r="L23" s="92">
        <f t="shared" si="6"/>
        <v>47.161950177333281</v>
      </c>
      <c r="M23" s="98">
        <f t="shared" si="9"/>
        <v>0.23480229395264715</v>
      </c>
      <c r="N23" s="99">
        <f t="shared" si="10"/>
        <v>21</v>
      </c>
      <c r="O23" s="15"/>
      <c r="P23" s="39"/>
      <c r="Q23" s="2"/>
      <c r="R23" s="2"/>
      <c r="S23" s="11"/>
    </row>
    <row r="24" spans="1:25" ht="17" thickBot="1" x14ac:dyDescent="0.25">
      <c r="A24" s="74" t="s">
        <v>9</v>
      </c>
      <c r="B24" s="75">
        <v>0.03</v>
      </c>
      <c r="C24" s="7"/>
      <c r="D24" s="144">
        <f t="shared" si="7"/>
        <v>22</v>
      </c>
      <c r="E24" s="106">
        <f t="shared" si="8"/>
        <v>744781.95384589967</v>
      </c>
      <c r="F24" s="107">
        <f t="shared" si="0"/>
        <v>475741.16729581996</v>
      </c>
      <c r="G24" s="108">
        <f t="shared" si="1"/>
        <v>269040.78655007971</v>
      </c>
      <c r="H24" s="109">
        <f t="shared" si="2"/>
        <v>94164.275292527891</v>
      </c>
      <c r="I24" s="110">
        <f t="shared" si="3"/>
        <v>569905.44258834783</v>
      </c>
      <c r="J24" s="151">
        <f t="shared" si="4"/>
        <v>174876.51125755181</v>
      </c>
      <c r="K24" s="79">
        <f t="shared" si="5"/>
        <v>2776597.4111759425</v>
      </c>
      <c r="L24" s="92">
        <f t="shared" si="6"/>
        <v>48.576808682653279</v>
      </c>
      <c r="M24" s="98">
        <f t="shared" si="9"/>
        <v>0.23480229395264715</v>
      </c>
      <c r="N24" s="99">
        <f t="shared" si="10"/>
        <v>22</v>
      </c>
      <c r="O24" s="15"/>
      <c r="P24" s="39"/>
      <c r="Q24" s="2"/>
      <c r="R24" s="2"/>
      <c r="S24" s="11"/>
    </row>
    <row r="25" spans="1:25" ht="16" thickBot="1" x14ac:dyDescent="0.25">
      <c r="A25" s="60" t="s">
        <v>14</v>
      </c>
      <c r="B25" s="72">
        <v>2.0000000000000001E-4</v>
      </c>
      <c r="D25" s="144">
        <f t="shared" si="7"/>
        <v>23</v>
      </c>
      <c r="E25" s="106">
        <f t="shared" si="8"/>
        <v>767125.41246127663</v>
      </c>
      <c r="F25" s="107">
        <f t="shared" si="0"/>
        <v>490013.40231469454</v>
      </c>
      <c r="G25" s="108">
        <f t="shared" si="1"/>
        <v>277112.01014658209</v>
      </c>
      <c r="H25" s="109">
        <f t="shared" si="2"/>
        <v>96989.203551303726</v>
      </c>
      <c r="I25" s="110">
        <f t="shared" si="3"/>
        <v>587002.60586599831</v>
      </c>
      <c r="J25" s="151">
        <f t="shared" si="4"/>
        <v>180122.80659527838</v>
      </c>
      <c r="K25" s="79">
        <f t="shared" si="5"/>
        <v>2956720.217771221</v>
      </c>
      <c r="L25" s="92">
        <f t="shared" si="6"/>
        <v>50.034112943132882</v>
      </c>
      <c r="M25" s="98">
        <f t="shared" si="9"/>
        <v>0.23480229395264718</v>
      </c>
      <c r="N25" s="99">
        <f t="shared" si="10"/>
        <v>23</v>
      </c>
      <c r="O25" s="15"/>
      <c r="P25" s="39"/>
      <c r="Q25" s="2"/>
      <c r="R25" s="2"/>
      <c r="S25" s="11"/>
    </row>
    <row r="26" spans="1:25" x14ac:dyDescent="0.2">
      <c r="D26" s="144">
        <f t="shared" si="7"/>
        <v>24</v>
      </c>
      <c r="E26" s="106">
        <f t="shared" si="8"/>
        <v>790139.17483511497</v>
      </c>
      <c r="F26" s="107">
        <f t="shared" si="0"/>
        <v>504713.80438413541</v>
      </c>
      <c r="G26" s="108">
        <f t="shared" si="1"/>
        <v>285425.37045097956</v>
      </c>
      <c r="H26" s="109">
        <f t="shared" si="2"/>
        <v>99898.879657842845</v>
      </c>
      <c r="I26" s="110">
        <f t="shared" si="3"/>
        <v>604612.68404197821</v>
      </c>
      <c r="J26" s="151">
        <f t="shared" si="4"/>
        <v>185526.49079313671</v>
      </c>
      <c r="K26" s="79">
        <f t="shared" si="5"/>
        <v>3142246.7085643578</v>
      </c>
      <c r="L26" s="92">
        <f t="shared" si="6"/>
        <v>51.535136331426862</v>
      </c>
      <c r="M26" s="98">
        <f t="shared" si="9"/>
        <v>0.23480229395264712</v>
      </c>
      <c r="N26" s="99">
        <f t="shared" si="10"/>
        <v>24</v>
      </c>
      <c r="O26" s="15"/>
      <c r="P26" s="39"/>
      <c r="Q26" s="2"/>
      <c r="R26" s="2"/>
      <c r="S26" s="11"/>
    </row>
    <row r="27" spans="1:25" x14ac:dyDescent="0.2">
      <c r="D27" s="144">
        <f t="shared" si="7"/>
        <v>25</v>
      </c>
      <c r="E27" s="106">
        <f t="shared" si="8"/>
        <v>813843.35008016846</v>
      </c>
      <c r="F27" s="107">
        <f t="shared" si="0"/>
        <v>519855.21851565951</v>
      </c>
      <c r="G27" s="108">
        <f t="shared" si="1"/>
        <v>293988.13156450895</v>
      </c>
      <c r="H27" s="109">
        <f t="shared" si="2"/>
        <v>102895.84604757813</v>
      </c>
      <c r="I27" s="110">
        <f t="shared" si="3"/>
        <v>622751.0645632376</v>
      </c>
      <c r="J27" s="151">
        <f t="shared" si="4"/>
        <v>191092.2855169308</v>
      </c>
      <c r="K27" s="79">
        <f t="shared" si="5"/>
        <v>3333338.9940812886</v>
      </c>
      <c r="L27" s="92">
        <f t="shared" si="6"/>
        <v>53.081190421369669</v>
      </c>
      <c r="M27" s="98">
        <f t="shared" si="9"/>
        <v>0.2348022939526471</v>
      </c>
      <c r="N27" s="99">
        <f t="shared" si="10"/>
        <v>25</v>
      </c>
      <c r="O27" s="15"/>
      <c r="P27" s="39"/>
      <c r="Q27" s="2"/>
      <c r="R27" s="2"/>
      <c r="S27" s="11"/>
    </row>
    <row r="28" spans="1:25" x14ac:dyDescent="0.2">
      <c r="D28" s="144">
        <f t="shared" si="7"/>
        <v>26</v>
      </c>
      <c r="E28" s="106">
        <f t="shared" si="8"/>
        <v>838258.65058257349</v>
      </c>
      <c r="F28" s="107">
        <f t="shared" si="0"/>
        <v>535450.8750711293</v>
      </c>
      <c r="G28" s="108">
        <f t="shared" si="1"/>
        <v>302807.7755114442</v>
      </c>
      <c r="H28" s="109">
        <f t="shared" si="2"/>
        <v>105982.72142900547</v>
      </c>
      <c r="I28" s="110">
        <f t="shared" si="3"/>
        <v>641433.59650013479</v>
      </c>
      <c r="J28" s="151">
        <f t="shared" si="4"/>
        <v>196825.05408243873</v>
      </c>
      <c r="K28" s="79">
        <f t="shared" si="5"/>
        <v>3530164.0481637274</v>
      </c>
      <c r="L28" s="92">
        <f t="shared" si="6"/>
        <v>54.67362613401076</v>
      </c>
      <c r="M28" s="98">
        <f t="shared" si="9"/>
        <v>0.23480229395264712</v>
      </c>
      <c r="N28" s="99">
        <f t="shared" si="10"/>
        <v>26</v>
      </c>
      <c r="O28" s="15"/>
      <c r="P28" s="39"/>
      <c r="Q28" s="2"/>
      <c r="R28" s="2"/>
      <c r="S28" s="11"/>
    </row>
    <row r="29" spans="1:25" x14ac:dyDescent="0.2">
      <c r="D29" s="144">
        <f t="shared" si="7"/>
        <v>27</v>
      </c>
      <c r="E29" s="106">
        <f t="shared" si="8"/>
        <v>863406.41010005074</v>
      </c>
      <c r="F29" s="107">
        <f t="shared" si="0"/>
        <v>551514.40132326318</v>
      </c>
      <c r="G29" s="108">
        <f t="shared" si="1"/>
        <v>311892.00877678755</v>
      </c>
      <c r="H29" s="109">
        <f t="shared" si="2"/>
        <v>109162.20307187564</v>
      </c>
      <c r="I29" s="110">
        <f t="shared" si="3"/>
        <v>660676.6043951388</v>
      </c>
      <c r="J29" s="151">
        <f t="shared" si="4"/>
        <v>202729.80570491191</v>
      </c>
      <c r="K29" s="79">
        <f t="shared" si="5"/>
        <v>3732893.8538686391</v>
      </c>
      <c r="L29" s="92">
        <f t="shared" si="6"/>
        <v>56.313834918031084</v>
      </c>
      <c r="M29" s="98">
        <f t="shared" si="9"/>
        <v>0.23480229395264712</v>
      </c>
      <c r="N29" s="99">
        <f t="shared" si="10"/>
        <v>27</v>
      </c>
      <c r="O29" s="15"/>
      <c r="P29" s="39"/>
      <c r="Q29" s="2"/>
      <c r="R29" s="2"/>
      <c r="S29" s="11"/>
    </row>
    <row r="30" spans="1:25" x14ac:dyDescent="0.2">
      <c r="D30" s="144">
        <f t="shared" si="7"/>
        <v>28</v>
      </c>
      <c r="E30" s="106">
        <f t="shared" si="8"/>
        <v>889308.60240305227</v>
      </c>
      <c r="F30" s="107">
        <f t="shared" si="0"/>
        <v>568059.83336296107</v>
      </c>
      <c r="G30" s="108">
        <f t="shared" si="1"/>
        <v>321248.7690400912</v>
      </c>
      <c r="H30" s="109">
        <f t="shared" si="2"/>
        <v>112437.06916403191</v>
      </c>
      <c r="I30" s="110">
        <f t="shared" si="3"/>
        <v>680496.90252699296</v>
      </c>
      <c r="J30" s="151">
        <f t="shared" si="4"/>
        <v>208811.69987605928</v>
      </c>
      <c r="K30" s="79">
        <f t="shared" si="5"/>
        <v>3941705.5537446984</v>
      </c>
      <c r="L30" s="92">
        <f t="shared" si="6"/>
        <v>58.003249965572024</v>
      </c>
      <c r="M30" s="98">
        <f t="shared" si="9"/>
        <v>0.23480229395264715</v>
      </c>
      <c r="N30" s="139">
        <f t="shared" si="10"/>
        <v>28</v>
      </c>
      <c r="O30" s="15"/>
      <c r="P30" s="39"/>
      <c r="Q30" s="2"/>
      <c r="R30" s="2"/>
      <c r="S30" s="11"/>
    </row>
    <row r="31" spans="1:25" ht="16" thickBot="1" x14ac:dyDescent="0.25">
      <c r="D31" s="144">
        <f t="shared" si="7"/>
        <v>29</v>
      </c>
      <c r="E31" s="106">
        <f t="shared" si="8"/>
        <v>915987.86047514388</v>
      </c>
      <c r="F31" s="107">
        <f t="shared" si="0"/>
        <v>585101.62836384994</v>
      </c>
      <c r="G31" s="108">
        <f t="shared" si="1"/>
        <v>330886.23211129394</v>
      </c>
      <c r="H31" s="109">
        <f t="shared" si="2"/>
        <v>115810.18123895286</v>
      </c>
      <c r="I31" s="110">
        <f t="shared" si="3"/>
        <v>700911.80960280285</v>
      </c>
      <c r="J31" s="151">
        <f t="shared" si="4"/>
        <v>215076.05087234109</v>
      </c>
      <c r="K31" s="79">
        <f t="shared" si="5"/>
        <v>4156781.6046170397</v>
      </c>
      <c r="L31" s="92">
        <f t="shared" si="6"/>
        <v>59.743347464539191</v>
      </c>
      <c r="M31" s="98">
        <f t="shared" si="9"/>
        <v>0.23480229395264715</v>
      </c>
      <c r="N31" s="139">
        <f t="shared" si="10"/>
        <v>29</v>
      </c>
      <c r="O31" s="15"/>
      <c r="P31" s="39"/>
      <c r="Q31" s="2"/>
      <c r="R31" s="2"/>
      <c r="S31" s="11"/>
    </row>
    <row r="32" spans="1:25" ht="16" thickBot="1" x14ac:dyDescent="0.25">
      <c r="A32" s="52" t="s">
        <v>19</v>
      </c>
      <c r="B32" s="53">
        <f>K7</f>
        <v>405079.20006201114</v>
      </c>
      <c r="C32" s="54"/>
      <c r="D32" s="28">
        <v>30</v>
      </c>
      <c r="E32" s="148">
        <f t="shared" si="8"/>
        <v>943467.49628939817</v>
      </c>
      <c r="F32" s="155">
        <f t="shared" si="0"/>
        <v>602654.67721476546</v>
      </c>
      <c r="G32" s="138">
        <f t="shared" si="1"/>
        <v>340812.81907463277</v>
      </c>
      <c r="H32" s="156">
        <f t="shared" si="2"/>
        <v>119284.48667612147</v>
      </c>
      <c r="I32" s="152">
        <f t="shared" si="3"/>
        <v>721939.16389088694</v>
      </c>
      <c r="J32" s="153">
        <f t="shared" si="4"/>
        <v>221528.33239851129</v>
      </c>
      <c r="K32" s="80">
        <f t="shared" si="5"/>
        <v>4378309.9370155511</v>
      </c>
      <c r="L32" s="93">
        <f t="shared" si="6"/>
        <v>61.53564788847536</v>
      </c>
      <c r="M32" s="98">
        <f t="shared" si="9"/>
        <v>0.23480229395264715</v>
      </c>
      <c r="N32" s="137">
        <v>30</v>
      </c>
      <c r="O32" s="40"/>
      <c r="P32" s="41"/>
      <c r="Q32" s="2"/>
      <c r="R32" s="2"/>
      <c r="S32" s="11"/>
    </row>
    <row r="33" spans="1:18" ht="16" thickBot="1" x14ac:dyDescent="0.25">
      <c r="A33" s="55" t="s">
        <v>11</v>
      </c>
      <c r="B33" s="56"/>
      <c r="C33" s="57"/>
      <c r="D33" s="46"/>
      <c r="E33" s="47"/>
      <c r="F33" s="47"/>
      <c r="G33" s="48"/>
      <c r="H33" s="49"/>
      <c r="I33" s="49"/>
      <c r="J33" s="141"/>
      <c r="K33" s="81">
        <f>K32</f>
        <v>4378309.9370155511</v>
      </c>
      <c r="L33" s="49"/>
      <c r="M33" s="49"/>
      <c r="N33" s="51"/>
      <c r="O33" s="40"/>
      <c r="P33" s="41"/>
      <c r="Q33" s="2"/>
      <c r="R33" s="2"/>
    </row>
    <row r="35" spans="1:18" ht="15" customHeight="1" x14ac:dyDescent="0.2">
      <c r="N35" s="12"/>
      <c r="O35" s="12"/>
      <c r="P35" s="12"/>
      <c r="Q35" s="12"/>
      <c r="R35" s="12"/>
    </row>
  </sheetData>
  <mergeCells count="1">
    <mergeCell ref="D1:P1"/>
  </mergeCells>
  <pageMargins left="0.7" right="0.7" top="0.75" bottom="0.75" header="0.3" footer="0.3"/>
  <pageSetup scale="87" orientation="landscape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512E0-5ADC-7D40-A85E-03A9E6E09A4D}">
  <dimension ref="A1:AA35"/>
  <sheetViews>
    <sheetView topLeftCell="A2" workbookViewId="0">
      <selection activeCell="F34" sqref="F34"/>
    </sheetView>
  </sheetViews>
  <sheetFormatPr baseColWidth="10" defaultColWidth="8.83203125" defaultRowHeight="15" x14ac:dyDescent="0.2"/>
  <cols>
    <col min="1" max="1" width="37.6640625" customWidth="1"/>
    <col min="2" max="2" width="14.33203125" customWidth="1"/>
    <col min="3" max="3" width="4.1640625" customWidth="1"/>
    <col min="4" max="4" width="6.1640625" customWidth="1"/>
    <col min="5" max="5" width="15.1640625" customWidth="1"/>
    <col min="6" max="6" width="16.1640625" customWidth="1"/>
    <col min="7" max="7" width="17.1640625" style="3" customWidth="1"/>
    <col min="8" max="8" width="18.5" style="8" customWidth="1"/>
    <col min="9" max="10" width="19.1640625" style="8" customWidth="1"/>
    <col min="11" max="13" width="16" style="8" customWidth="1"/>
    <col min="14" max="14" width="4.6640625" customWidth="1"/>
    <col min="15" max="15" width="4.6640625" hidden="1" customWidth="1"/>
    <col min="16" max="16" width="2" hidden="1" customWidth="1"/>
    <col min="17" max="18" width="4.6640625" customWidth="1"/>
    <col min="19" max="19" width="11.5" bestFit="1" customWidth="1"/>
    <col min="20" max="20" width="13.1640625" bestFit="1" customWidth="1"/>
    <col min="21" max="21" width="11.5" bestFit="1" customWidth="1"/>
    <col min="22" max="22" width="5.1640625" bestFit="1" customWidth="1"/>
    <col min="23" max="23" width="11.5" bestFit="1" customWidth="1"/>
    <col min="24" max="24" width="14.1640625" bestFit="1" customWidth="1"/>
    <col min="25" max="25" width="8.83203125" style="13"/>
    <col min="26" max="26" width="9.83203125" bestFit="1" customWidth="1"/>
  </cols>
  <sheetData>
    <row r="1" spans="1:27" ht="47" customHeight="1" thickBot="1" x14ac:dyDescent="0.25">
      <c r="A1" s="27"/>
      <c r="B1" s="30" t="s">
        <v>36</v>
      </c>
      <c r="D1" s="86" t="s">
        <v>27</v>
      </c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8"/>
    </row>
    <row r="2" spans="1:27" s="1" customFormat="1" ht="64" customHeight="1" thickBot="1" x14ac:dyDescent="0.25">
      <c r="A2" s="24" t="s">
        <v>18</v>
      </c>
      <c r="D2" s="166" t="s">
        <v>0</v>
      </c>
      <c r="E2" s="102" t="s">
        <v>21</v>
      </c>
      <c r="F2" s="90" t="s">
        <v>22</v>
      </c>
      <c r="G2" s="32" t="s">
        <v>5</v>
      </c>
      <c r="H2" s="89" t="s">
        <v>37</v>
      </c>
      <c r="I2" s="103" t="s">
        <v>23</v>
      </c>
      <c r="J2" s="104" t="s">
        <v>12</v>
      </c>
      <c r="K2" s="35" t="s">
        <v>1</v>
      </c>
      <c r="L2" s="112" t="s">
        <v>7</v>
      </c>
      <c r="M2" s="113" t="s">
        <v>31</v>
      </c>
      <c r="N2" s="114" t="s">
        <v>0</v>
      </c>
      <c r="P2" s="38"/>
      <c r="Y2" s="14"/>
    </row>
    <row r="3" spans="1:27" ht="16" thickBot="1" x14ac:dyDescent="0.25">
      <c r="A3" s="29" t="s">
        <v>10</v>
      </c>
      <c r="B3" s="62">
        <v>3600</v>
      </c>
      <c r="C3" s="2"/>
      <c r="D3" s="145">
        <v>1</v>
      </c>
      <c r="E3" s="162">
        <v>400357</v>
      </c>
      <c r="F3" s="154">
        <f>E3-G3</f>
        <v>255734.32</v>
      </c>
      <c r="G3" s="140">
        <f>B9</f>
        <v>144622.68</v>
      </c>
      <c r="H3" s="128">
        <f>B9</f>
        <v>144622.68</v>
      </c>
      <c r="I3" s="165">
        <f>E3</f>
        <v>400357</v>
      </c>
      <c r="J3" s="150">
        <f>(H3-$B$9)/$B$9</f>
        <v>0</v>
      </c>
      <c r="K3" s="37">
        <f>J3</f>
        <v>0</v>
      </c>
      <c r="L3" s="94">
        <v>0</v>
      </c>
      <c r="M3" s="111"/>
      <c r="N3" s="159">
        <v>1</v>
      </c>
      <c r="O3" s="15"/>
      <c r="P3" s="39"/>
      <c r="Q3" s="15"/>
      <c r="R3" s="15"/>
      <c r="S3" s="11"/>
      <c r="T3" s="16"/>
      <c r="Y3" s="17"/>
    </row>
    <row r="4" spans="1:27" ht="16" thickBot="1" x14ac:dyDescent="0.25">
      <c r="C4" s="2"/>
      <c r="D4" s="160">
        <f>D3+1</f>
        <v>2</v>
      </c>
      <c r="E4" s="163">
        <f>E3*1.03</f>
        <v>412367.71</v>
      </c>
      <c r="F4" s="107">
        <f t="shared" ref="F4:F32" si="0">E4-G4</f>
        <v>263406.34960000002</v>
      </c>
      <c r="G4" s="108">
        <f t="shared" ref="G4:G32" si="1">G3*(1+$B$24)</f>
        <v>148961.36040000001</v>
      </c>
      <c r="H4" s="109">
        <f t="shared" ref="H4:H32" si="2">G4*$B$20</f>
        <v>59584.544160000005</v>
      </c>
      <c r="I4" s="110">
        <f t="shared" ref="I4:I32" si="3">F4+H4</f>
        <v>322990.89376000001</v>
      </c>
      <c r="J4" s="151">
        <f t="shared" ref="J4:J32" si="4">G4-H4</f>
        <v>89376.81624</v>
      </c>
      <c r="K4" s="79">
        <f t="shared" ref="K4:K32" si="5">J4+K3</f>
        <v>89376.81624</v>
      </c>
      <c r="L4" s="92">
        <f t="shared" ref="L4:L32" si="6">J4/$B$3</f>
        <v>24.826893399999999</v>
      </c>
      <c r="M4" s="98">
        <f>J4/E4</f>
        <v>0.21674057903321284</v>
      </c>
      <c r="N4" s="160">
        <f>N3+1</f>
        <v>2</v>
      </c>
      <c r="O4" s="15"/>
      <c r="P4" s="39"/>
      <c r="Q4" s="15"/>
      <c r="R4" s="15"/>
      <c r="S4" s="11"/>
      <c r="T4" s="18"/>
      <c r="Y4" s="17"/>
      <c r="AA4" s="11"/>
    </row>
    <row r="5" spans="1:27" ht="16" thickBot="1" x14ac:dyDescent="0.25">
      <c r="A5" s="10" t="s">
        <v>6</v>
      </c>
      <c r="B5" s="63">
        <v>1000</v>
      </c>
      <c r="C5" s="4"/>
      <c r="D5" s="160">
        <f t="shared" ref="D5:D31" si="7">D4+1</f>
        <v>3</v>
      </c>
      <c r="E5" s="163">
        <f t="shared" ref="E5:E32" si="8">E4*1.03</f>
        <v>424738.74130000005</v>
      </c>
      <c r="F5" s="107">
        <f t="shared" si="0"/>
        <v>271308.54008800001</v>
      </c>
      <c r="G5" s="108">
        <f t="shared" si="1"/>
        <v>153430.20121200001</v>
      </c>
      <c r="H5" s="109">
        <f t="shared" si="2"/>
        <v>61372.080484800012</v>
      </c>
      <c r="I5" s="110">
        <f t="shared" si="3"/>
        <v>332680.62057280005</v>
      </c>
      <c r="J5" s="151">
        <f t="shared" si="4"/>
        <v>92058.120727200003</v>
      </c>
      <c r="K5" s="79">
        <f t="shared" si="5"/>
        <v>181434.93696720002</v>
      </c>
      <c r="L5" s="92">
        <f t="shared" si="6"/>
        <v>25.571700202000002</v>
      </c>
      <c r="M5" s="98">
        <f t="shared" ref="M5:M32" si="9">J5/E5</f>
        <v>0.21674057903321284</v>
      </c>
      <c r="N5" s="160">
        <f t="shared" ref="N5:N31" si="10">N4+1</f>
        <v>3</v>
      </c>
      <c r="O5" s="15"/>
      <c r="P5" s="39"/>
      <c r="Q5" s="15"/>
      <c r="R5" s="15"/>
      <c r="S5" s="11"/>
      <c r="T5" s="18"/>
      <c r="Y5" s="17"/>
    </row>
    <row r="6" spans="1:27" ht="16" x14ac:dyDescent="0.2">
      <c r="A6" s="34" t="s">
        <v>16</v>
      </c>
      <c r="B6" s="64">
        <f>B7/B5</f>
        <v>1205.1890000000001</v>
      </c>
      <c r="C6" s="5"/>
      <c r="D6" s="160">
        <f t="shared" si="7"/>
        <v>4</v>
      </c>
      <c r="E6" s="163">
        <f t="shared" si="8"/>
        <v>437480.90353900008</v>
      </c>
      <c r="F6" s="107">
        <f t="shared" si="0"/>
        <v>279447.79629064002</v>
      </c>
      <c r="G6" s="108">
        <f t="shared" si="1"/>
        <v>158033.10724836003</v>
      </c>
      <c r="H6" s="109">
        <f t="shared" si="2"/>
        <v>63213.242899344012</v>
      </c>
      <c r="I6" s="110">
        <f t="shared" si="3"/>
        <v>342661.03918998403</v>
      </c>
      <c r="J6" s="151">
        <f t="shared" si="4"/>
        <v>94819.864349016018</v>
      </c>
      <c r="K6" s="79">
        <f t="shared" si="5"/>
        <v>276254.80131621601</v>
      </c>
      <c r="L6" s="92">
        <f t="shared" si="6"/>
        <v>26.338851208060007</v>
      </c>
      <c r="M6" s="98">
        <f t="shared" si="9"/>
        <v>0.21674057903321287</v>
      </c>
      <c r="N6" s="160">
        <f t="shared" si="10"/>
        <v>4</v>
      </c>
      <c r="O6" s="15"/>
      <c r="P6" s="39"/>
      <c r="Q6" s="15"/>
      <c r="R6" s="15"/>
      <c r="S6" s="11"/>
      <c r="Y6" s="17"/>
    </row>
    <row r="7" spans="1:27" x14ac:dyDescent="0.2">
      <c r="A7" s="10" t="s">
        <v>15</v>
      </c>
      <c r="B7" s="65">
        <v>1205189</v>
      </c>
      <c r="D7" s="160">
        <f t="shared" si="7"/>
        <v>5</v>
      </c>
      <c r="E7" s="163">
        <f t="shared" si="8"/>
        <v>450605.33064517012</v>
      </c>
      <c r="F7" s="107">
        <f t="shared" si="0"/>
        <v>287831.23017935932</v>
      </c>
      <c r="G7" s="108">
        <f t="shared" si="1"/>
        <v>162774.10046581083</v>
      </c>
      <c r="H7" s="109">
        <f t="shared" si="2"/>
        <v>65109.640186324337</v>
      </c>
      <c r="I7" s="110">
        <f t="shared" si="3"/>
        <v>352940.87036568369</v>
      </c>
      <c r="J7" s="151">
        <f t="shared" si="4"/>
        <v>97664.460279486491</v>
      </c>
      <c r="K7" s="79">
        <f t="shared" si="5"/>
        <v>373919.2615957025</v>
      </c>
      <c r="L7" s="92">
        <f t="shared" si="6"/>
        <v>27.129016744301804</v>
      </c>
      <c r="M7" s="98">
        <f t="shared" si="9"/>
        <v>0.21674057903321284</v>
      </c>
      <c r="N7" s="160">
        <f t="shared" si="10"/>
        <v>5</v>
      </c>
      <c r="O7" s="15"/>
      <c r="P7" s="39"/>
      <c r="Q7" s="15"/>
      <c r="R7" s="15"/>
      <c r="S7" s="11"/>
      <c r="Y7" s="17"/>
    </row>
    <row r="8" spans="1:27" x14ac:dyDescent="0.2">
      <c r="A8" s="10" t="s">
        <v>2</v>
      </c>
      <c r="B8" s="66">
        <v>0.12</v>
      </c>
      <c r="C8" s="3"/>
      <c r="D8" s="160">
        <f t="shared" si="7"/>
        <v>6</v>
      </c>
      <c r="E8" s="163">
        <f t="shared" si="8"/>
        <v>464123.49056452524</v>
      </c>
      <c r="F8" s="107">
        <f t="shared" si="0"/>
        <v>296466.16708474013</v>
      </c>
      <c r="G8" s="108">
        <f t="shared" si="1"/>
        <v>167657.32347978515</v>
      </c>
      <c r="H8" s="109">
        <f t="shared" si="2"/>
        <v>67062.929391914062</v>
      </c>
      <c r="I8" s="110">
        <f t="shared" si="3"/>
        <v>363529.09647665417</v>
      </c>
      <c r="J8" s="151">
        <f t="shared" si="4"/>
        <v>100594.39408787109</v>
      </c>
      <c r="K8" s="79">
        <f t="shared" si="5"/>
        <v>474513.65568357357</v>
      </c>
      <c r="L8" s="92">
        <f t="shared" si="6"/>
        <v>27.942887246630857</v>
      </c>
      <c r="M8" s="98">
        <f t="shared" si="9"/>
        <v>0.21674057903321281</v>
      </c>
      <c r="N8" s="160">
        <f t="shared" si="10"/>
        <v>6</v>
      </c>
      <c r="O8" s="15"/>
      <c r="P8" s="39"/>
      <c r="Q8" s="15"/>
      <c r="R8" s="15"/>
      <c r="S8" s="11"/>
      <c r="Y8" s="17"/>
    </row>
    <row r="9" spans="1:27" x14ac:dyDescent="0.2">
      <c r="A9" s="10" t="s">
        <v>17</v>
      </c>
      <c r="B9" s="67">
        <f>B5*B6*B8</f>
        <v>144622.68</v>
      </c>
      <c r="C9" s="3"/>
      <c r="D9" s="160">
        <f t="shared" si="7"/>
        <v>7</v>
      </c>
      <c r="E9" s="163">
        <f t="shared" si="8"/>
        <v>478047.195281461</v>
      </c>
      <c r="F9" s="107">
        <f t="shared" si="0"/>
        <v>305360.15209728229</v>
      </c>
      <c r="G9" s="108">
        <f t="shared" si="1"/>
        <v>172687.04318417871</v>
      </c>
      <c r="H9" s="109">
        <f t="shared" si="2"/>
        <v>69074.817273671491</v>
      </c>
      <c r="I9" s="110">
        <f t="shared" si="3"/>
        <v>374434.9693709538</v>
      </c>
      <c r="J9" s="151">
        <f t="shared" si="4"/>
        <v>103612.22591050722</v>
      </c>
      <c r="K9" s="79">
        <f t="shared" si="5"/>
        <v>578125.88159408083</v>
      </c>
      <c r="L9" s="92">
        <f t="shared" si="6"/>
        <v>28.781173864029782</v>
      </c>
      <c r="M9" s="98">
        <f t="shared" si="9"/>
        <v>0.21674057903321281</v>
      </c>
      <c r="N9" s="160">
        <f t="shared" si="10"/>
        <v>7</v>
      </c>
      <c r="O9" s="15"/>
      <c r="P9" s="39"/>
      <c r="Q9" s="15"/>
      <c r="R9" s="15"/>
      <c r="S9" s="11"/>
      <c r="U9" s="23">
        <f>B13/2</f>
        <v>1166500</v>
      </c>
      <c r="Y9" s="17"/>
    </row>
    <row r="10" spans="1:27" x14ac:dyDescent="0.2">
      <c r="C10" s="3"/>
      <c r="D10" s="160">
        <f t="shared" si="7"/>
        <v>8</v>
      </c>
      <c r="E10" s="163">
        <f t="shared" si="8"/>
        <v>492388.61113990482</v>
      </c>
      <c r="F10" s="107">
        <f t="shared" si="0"/>
        <v>314520.95666020073</v>
      </c>
      <c r="G10" s="108">
        <f t="shared" si="1"/>
        <v>177867.65447970407</v>
      </c>
      <c r="H10" s="109">
        <f t="shared" si="2"/>
        <v>71147.061791881628</v>
      </c>
      <c r="I10" s="110">
        <f t="shared" si="3"/>
        <v>385668.01845208235</v>
      </c>
      <c r="J10" s="151">
        <f t="shared" si="4"/>
        <v>106720.59268782244</v>
      </c>
      <c r="K10" s="79">
        <f t="shared" si="5"/>
        <v>684846.47428190324</v>
      </c>
      <c r="L10" s="92">
        <f t="shared" si="6"/>
        <v>29.64460907995068</v>
      </c>
      <c r="M10" s="98">
        <f t="shared" si="9"/>
        <v>0.21674057903321284</v>
      </c>
      <c r="N10" s="160">
        <f t="shared" si="10"/>
        <v>8</v>
      </c>
      <c r="O10" s="15"/>
      <c r="P10" s="39"/>
      <c r="Q10" s="15"/>
      <c r="R10" s="15"/>
      <c r="S10" s="11"/>
      <c r="Y10" s="17"/>
    </row>
    <row r="11" spans="1:27" x14ac:dyDescent="0.2">
      <c r="C11" s="3"/>
      <c r="D11" s="160">
        <f t="shared" si="7"/>
        <v>9</v>
      </c>
      <c r="E11" s="163">
        <f t="shared" si="8"/>
        <v>507160.26947410201</v>
      </c>
      <c r="F11" s="107">
        <f t="shared" si="0"/>
        <v>323956.58536000678</v>
      </c>
      <c r="G11" s="108">
        <f t="shared" si="1"/>
        <v>183203.6841140952</v>
      </c>
      <c r="H11" s="109">
        <f t="shared" si="2"/>
        <v>73281.473645638078</v>
      </c>
      <c r="I11" s="110">
        <f t="shared" si="3"/>
        <v>397238.05900564487</v>
      </c>
      <c r="J11" s="151">
        <f t="shared" si="4"/>
        <v>109922.21046845712</v>
      </c>
      <c r="K11" s="79">
        <f t="shared" si="5"/>
        <v>794768.68475036032</v>
      </c>
      <c r="L11" s="92">
        <f t="shared" si="6"/>
        <v>30.533947352349202</v>
      </c>
      <c r="M11" s="98">
        <f t="shared" si="9"/>
        <v>0.21674057903321284</v>
      </c>
      <c r="N11" s="160">
        <f t="shared" si="10"/>
        <v>9</v>
      </c>
      <c r="O11" s="15"/>
      <c r="P11" s="39"/>
      <c r="Q11" s="15"/>
      <c r="R11" s="15"/>
      <c r="S11" s="11"/>
      <c r="Y11" s="17"/>
    </row>
    <row r="12" spans="1:27" x14ac:dyDescent="0.2">
      <c r="A12" s="10" t="s">
        <v>3</v>
      </c>
      <c r="B12" s="25">
        <v>2333</v>
      </c>
      <c r="C12" s="9"/>
      <c r="D12" s="160">
        <f t="shared" si="7"/>
        <v>10</v>
      </c>
      <c r="E12" s="163">
        <f t="shared" si="8"/>
        <v>522375.07755832508</v>
      </c>
      <c r="F12" s="107">
        <f t="shared" si="0"/>
        <v>333675.28292080702</v>
      </c>
      <c r="G12" s="108">
        <f t="shared" si="1"/>
        <v>188699.79463751806</v>
      </c>
      <c r="H12" s="109">
        <f t="shared" si="2"/>
        <v>75479.917855007225</v>
      </c>
      <c r="I12" s="110">
        <f t="shared" si="3"/>
        <v>409155.20077581424</v>
      </c>
      <c r="J12" s="151">
        <f t="shared" si="4"/>
        <v>113219.87678251084</v>
      </c>
      <c r="K12" s="79">
        <f t="shared" si="5"/>
        <v>907988.5615328711</v>
      </c>
      <c r="L12" s="92">
        <f t="shared" si="6"/>
        <v>31.449965772919676</v>
      </c>
      <c r="M12" s="98">
        <f t="shared" si="9"/>
        <v>0.21674057903321284</v>
      </c>
      <c r="N12" s="160">
        <f t="shared" si="10"/>
        <v>10</v>
      </c>
      <c r="O12" s="15"/>
      <c r="P12" s="39"/>
      <c r="Q12" s="15"/>
      <c r="R12" s="15"/>
      <c r="S12" s="11"/>
      <c r="W12" s="19"/>
      <c r="Y12" s="17"/>
      <c r="Z12" s="20"/>
    </row>
    <row r="13" spans="1:27" x14ac:dyDescent="0.2">
      <c r="A13" s="10" t="s">
        <v>4</v>
      </c>
      <c r="B13" s="25">
        <f>B12*B5</f>
        <v>2333000</v>
      </c>
      <c r="C13" s="3"/>
      <c r="D13" s="160">
        <f t="shared" si="7"/>
        <v>11</v>
      </c>
      <c r="E13" s="163">
        <f t="shared" si="8"/>
        <v>538046.32988507487</v>
      </c>
      <c r="F13" s="107">
        <f t="shared" si="0"/>
        <v>343685.54140843125</v>
      </c>
      <c r="G13" s="108">
        <f t="shared" si="1"/>
        <v>194360.78847664362</v>
      </c>
      <c r="H13" s="109">
        <f t="shared" si="2"/>
        <v>77744.315390657444</v>
      </c>
      <c r="I13" s="110">
        <f t="shared" si="3"/>
        <v>421429.85679908871</v>
      </c>
      <c r="J13" s="151">
        <f t="shared" si="4"/>
        <v>116616.47308598617</v>
      </c>
      <c r="K13" s="79">
        <f t="shared" si="5"/>
        <v>1024605.0346188573</v>
      </c>
      <c r="L13" s="92">
        <f t="shared" si="6"/>
        <v>32.39346474610727</v>
      </c>
      <c r="M13" s="98">
        <f t="shared" si="9"/>
        <v>0.21674057903321284</v>
      </c>
      <c r="N13" s="160">
        <f t="shared" si="10"/>
        <v>11</v>
      </c>
      <c r="O13" s="15"/>
      <c r="P13" s="39"/>
      <c r="Q13" s="15"/>
      <c r="R13" s="15"/>
      <c r="S13" s="11"/>
      <c r="Y13" s="17"/>
    </row>
    <row r="14" spans="1:27" ht="16" thickBot="1" x14ac:dyDescent="0.25">
      <c r="A14" s="10"/>
      <c r="B14" s="3"/>
      <c r="C14" s="3"/>
      <c r="D14" s="160">
        <f t="shared" si="7"/>
        <v>12</v>
      </c>
      <c r="E14" s="163">
        <f t="shared" si="8"/>
        <v>554187.71978162718</v>
      </c>
      <c r="F14" s="107">
        <f t="shared" si="0"/>
        <v>353996.10765068425</v>
      </c>
      <c r="G14" s="108">
        <f t="shared" si="1"/>
        <v>200191.61213094293</v>
      </c>
      <c r="H14" s="109">
        <f t="shared" si="2"/>
        <v>80076.644852377183</v>
      </c>
      <c r="I14" s="110">
        <f t="shared" si="3"/>
        <v>434072.75250306143</v>
      </c>
      <c r="J14" s="151">
        <f t="shared" si="4"/>
        <v>120114.96727856575</v>
      </c>
      <c r="K14" s="79">
        <f t="shared" si="5"/>
        <v>1144720.0018974231</v>
      </c>
      <c r="L14" s="92">
        <f t="shared" si="6"/>
        <v>33.365268688490488</v>
      </c>
      <c r="M14" s="98">
        <f t="shared" si="9"/>
        <v>0.21674057903321278</v>
      </c>
      <c r="N14" s="160">
        <f t="shared" si="10"/>
        <v>12</v>
      </c>
      <c r="O14" s="15"/>
      <c r="P14" s="39"/>
      <c r="Q14" s="15"/>
      <c r="R14" s="15"/>
      <c r="S14" s="11"/>
      <c r="Y14" s="17"/>
    </row>
    <row r="15" spans="1:27" ht="16" thickBot="1" x14ac:dyDescent="0.25">
      <c r="A15" s="26" t="s">
        <v>24</v>
      </c>
      <c r="B15" s="68">
        <f>B5*862</f>
        <v>862000</v>
      </c>
      <c r="C15" s="3"/>
      <c r="D15" s="160">
        <f t="shared" si="7"/>
        <v>13</v>
      </c>
      <c r="E15" s="163">
        <f t="shared" si="8"/>
        <v>570813.35137507599</v>
      </c>
      <c r="F15" s="107">
        <f t="shared" si="0"/>
        <v>364615.99088020477</v>
      </c>
      <c r="G15" s="108">
        <f t="shared" si="1"/>
        <v>206197.36049487122</v>
      </c>
      <c r="H15" s="109">
        <f t="shared" si="2"/>
        <v>82478.944197948498</v>
      </c>
      <c r="I15" s="110">
        <f t="shared" si="3"/>
        <v>447094.93507815327</v>
      </c>
      <c r="J15" s="151">
        <f t="shared" si="4"/>
        <v>123718.41629692272</v>
      </c>
      <c r="K15" s="79">
        <f t="shared" si="5"/>
        <v>1268438.4181943457</v>
      </c>
      <c r="L15" s="92">
        <f t="shared" si="6"/>
        <v>34.366226749145198</v>
      </c>
      <c r="M15" s="98">
        <f t="shared" si="9"/>
        <v>0.21674057903321278</v>
      </c>
      <c r="N15" s="160">
        <f t="shared" si="10"/>
        <v>13</v>
      </c>
      <c r="O15" s="15"/>
      <c r="P15" s="39"/>
      <c r="Q15" s="15"/>
      <c r="R15" s="15"/>
      <c r="S15" s="11"/>
      <c r="Y15" s="17"/>
      <c r="Z15" s="21"/>
    </row>
    <row r="16" spans="1:27" ht="16" thickBot="1" x14ac:dyDescent="0.25">
      <c r="A16" s="26" t="s">
        <v>25</v>
      </c>
      <c r="B16" s="68">
        <f>(B13-B15)*0.3</f>
        <v>441300</v>
      </c>
      <c r="C16" s="3"/>
      <c r="D16" s="160">
        <f t="shared" si="7"/>
        <v>14</v>
      </c>
      <c r="E16" s="163">
        <f t="shared" si="8"/>
        <v>587937.75191632833</v>
      </c>
      <c r="F16" s="107">
        <f t="shared" si="0"/>
        <v>375554.47060661099</v>
      </c>
      <c r="G16" s="108">
        <f t="shared" si="1"/>
        <v>212383.28130971736</v>
      </c>
      <c r="H16" s="109">
        <f t="shared" si="2"/>
        <v>84953.312523886954</v>
      </c>
      <c r="I16" s="110">
        <f t="shared" si="3"/>
        <v>460507.78313049796</v>
      </c>
      <c r="J16" s="151">
        <f t="shared" si="4"/>
        <v>127429.96878583041</v>
      </c>
      <c r="K16" s="79">
        <f t="shared" si="5"/>
        <v>1395868.386980176</v>
      </c>
      <c r="L16" s="92">
        <f t="shared" si="6"/>
        <v>35.397213551619558</v>
      </c>
      <c r="M16" s="98">
        <f t="shared" si="9"/>
        <v>0.21674057903321278</v>
      </c>
      <c r="N16" s="160">
        <f t="shared" si="10"/>
        <v>14</v>
      </c>
      <c r="O16" s="15"/>
      <c r="P16" s="39"/>
      <c r="Q16" s="15"/>
      <c r="R16" s="15"/>
      <c r="S16" s="11"/>
      <c r="Y16" s="17"/>
      <c r="Z16" s="22"/>
    </row>
    <row r="17" spans="1:25" x14ac:dyDescent="0.2">
      <c r="A17" s="10"/>
      <c r="B17" s="25"/>
      <c r="C17" s="3"/>
      <c r="D17" s="160">
        <f t="shared" si="7"/>
        <v>15</v>
      </c>
      <c r="E17" s="163">
        <f t="shared" si="8"/>
        <v>605575.88447381824</v>
      </c>
      <c r="F17" s="107">
        <f t="shared" si="0"/>
        <v>386821.10472480935</v>
      </c>
      <c r="G17" s="108">
        <f t="shared" si="1"/>
        <v>218754.77974900889</v>
      </c>
      <c r="H17" s="109">
        <f t="shared" si="2"/>
        <v>87501.911899603554</v>
      </c>
      <c r="I17" s="110">
        <f t="shared" si="3"/>
        <v>474323.01662441291</v>
      </c>
      <c r="J17" s="151">
        <f t="shared" si="4"/>
        <v>131252.86784940533</v>
      </c>
      <c r="K17" s="79">
        <f t="shared" si="5"/>
        <v>1527121.2548295814</v>
      </c>
      <c r="L17" s="92">
        <f t="shared" si="6"/>
        <v>36.459129958168148</v>
      </c>
      <c r="M17" s="98">
        <f t="shared" si="9"/>
        <v>0.21674057903321278</v>
      </c>
      <c r="N17" s="160">
        <f t="shared" si="10"/>
        <v>15</v>
      </c>
      <c r="O17" s="15"/>
      <c r="P17" s="39"/>
      <c r="Q17" s="15"/>
      <c r="R17" s="15"/>
      <c r="S17" s="11"/>
      <c r="Y17" s="17"/>
    </row>
    <row r="18" spans="1:25" ht="16" thickBot="1" x14ac:dyDescent="0.25">
      <c r="C18" s="3"/>
      <c r="D18" s="160">
        <f t="shared" si="7"/>
        <v>16</v>
      </c>
      <c r="E18" s="163">
        <f t="shared" si="8"/>
        <v>623743.16100803285</v>
      </c>
      <c r="F18" s="107">
        <f t="shared" si="0"/>
        <v>398425.73786655371</v>
      </c>
      <c r="G18" s="108">
        <f t="shared" si="1"/>
        <v>225317.42314147917</v>
      </c>
      <c r="H18" s="109">
        <f t="shared" si="2"/>
        <v>90126.969256591678</v>
      </c>
      <c r="I18" s="110">
        <f t="shared" si="3"/>
        <v>488552.7071231454</v>
      </c>
      <c r="J18" s="151">
        <f t="shared" si="4"/>
        <v>135190.45388488751</v>
      </c>
      <c r="K18" s="79">
        <f t="shared" si="5"/>
        <v>1662311.7087144689</v>
      </c>
      <c r="L18" s="92">
        <f t="shared" si="6"/>
        <v>37.552903856913197</v>
      </c>
      <c r="M18" s="98">
        <f t="shared" si="9"/>
        <v>0.21674057903321278</v>
      </c>
      <c r="N18" s="160">
        <f t="shared" si="10"/>
        <v>16</v>
      </c>
      <c r="O18" s="15"/>
      <c r="P18" s="39"/>
      <c r="Q18" s="15"/>
      <c r="R18" s="15"/>
      <c r="S18" s="11"/>
      <c r="Y18" s="17"/>
    </row>
    <row r="19" spans="1:25" ht="16" thickBot="1" x14ac:dyDescent="0.25">
      <c r="A19" s="59" t="s">
        <v>8</v>
      </c>
      <c r="B19" s="69">
        <v>1</v>
      </c>
      <c r="C19" s="3"/>
      <c r="D19" s="160">
        <f t="shared" si="7"/>
        <v>17</v>
      </c>
      <c r="E19" s="163">
        <f t="shared" si="8"/>
        <v>642455.45583827386</v>
      </c>
      <c r="F19" s="107">
        <f t="shared" si="0"/>
        <v>410378.51000255032</v>
      </c>
      <c r="G19" s="108">
        <f t="shared" si="1"/>
        <v>232076.94583572354</v>
      </c>
      <c r="H19" s="109">
        <f t="shared" si="2"/>
        <v>92830.778334289425</v>
      </c>
      <c r="I19" s="110">
        <f t="shared" si="3"/>
        <v>503209.28833683976</v>
      </c>
      <c r="J19" s="151">
        <f t="shared" si="4"/>
        <v>139246.1675014341</v>
      </c>
      <c r="K19" s="79">
        <f t="shared" si="5"/>
        <v>1801557.8762159031</v>
      </c>
      <c r="L19" s="92">
        <f t="shared" si="6"/>
        <v>38.679490972620584</v>
      </c>
      <c r="M19" s="98">
        <f t="shared" si="9"/>
        <v>0.21674057903321273</v>
      </c>
      <c r="N19" s="160">
        <f t="shared" si="10"/>
        <v>17</v>
      </c>
      <c r="O19" s="15"/>
      <c r="P19" s="39"/>
      <c r="Q19" s="15"/>
      <c r="R19" s="15"/>
      <c r="S19" s="11"/>
      <c r="Y19" s="17"/>
    </row>
    <row r="20" spans="1:25" ht="16" thickBot="1" x14ac:dyDescent="0.25">
      <c r="A20" s="26" t="s">
        <v>33</v>
      </c>
      <c r="B20" s="73">
        <v>0.4</v>
      </c>
      <c r="C20" s="3"/>
      <c r="D20" s="160">
        <f t="shared" si="7"/>
        <v>18</v>
      </c>
      <c r="E20" s="163">
        <f t="shared" si="8"/>
        <v>661729.11951342213</v>
      </c>
      <c r="F20" s="107">
        <f t="shared" si="0"/>
        <v>422689.86530262686</v>
      </c>
      <c r="G20" s="108">
        <f t="shared" si="1"/>
        <v>239039.25421079525</v>
      </c>
      <c r="H20" s="109">
        <f t="shared" si="2"/>
        <v>95615.701684318105</v>
      </c>
      <c r="I20" s="110">
        <f t="shared" si="3"/>
        <v>518305.56698694499</v>
      </c>
      <c r="J20" s="151">
        <f t="shared" si="4"/>
        <v>143423.55252647714</v>
      </c>
      <c r="K20" s="79">
        <f t="shared" si="5"/>
        <v>1944981.4287423803</v>
      </c>
      <c r="L20" s="92">
        <f t="shared" si="6"/>
        <v>39.839875701799208</v>
      </c>
      <c r="M20" s="98">
        <f t="shared" si="9"/>
        <v>0.21674057903321273</v>
      </c>
      <c r="N20" s="160">
        <f t="shared" si="10"/>
        <v>18</v>
      </c>
      <c r="O20" s="15"/>
      <c r="P20" s="39"/>
      <c r="Q20" s="15"/>
      <c r="R20" s="15"/>
      <c r="S20" s="11"/>
      <c r="Y20" s="17"/>
    </row>
    <row r="21" spans="1:25" x14ac:dyDescent="0.2">
      <c r="A21" s="10"/>
      <c r="B21" s="3"/>
      <c r="C21" s="6"/>
      <c r="D21" s="160">
        <f t="shared" si="7"/>
        <v>19</v>
      </c>
      <c r="E21" s="163">
        <f t="shared" si="8"/>
        <v>681580.99309882487</v>
      </c>
      <c r="F21" s="107">
        <f t="shared" si="0"/>
        <v>435370.56126170576</v>
      </c>
      <c r="G21" s="108">
        <f t="shared" si="1"/>
        <v>246210.4318371191</v>
      </c>
      <c r="H21" s="109">
        <f t="shared" si="2"/>
        <v>98484.172734847642</v>
      </c>
      <c r="I21" s="110">
        <f t="shared" si="3"/>
        <v>533854.73399655335</v>
      </c>
      <c r="J21" s="151">
        <f t="shared" si="4"/>
        <v>147726.25910227146</v>
      </c>
      <c r="K21" s="79">
        <f t="shared" si="5"/>
        <v>2092707.6878446518</v>
      </c>
      <c r="L21" s="92">
        <f t="shared" si="6"/>
        <v>41.035071972853181</v>
      </c>
      <c r="M21" s="98">
        <f t="shared" si="9"/>
        <v>0.21674057903321273</v>
      </c>
      <c r="N21" s="160">
        <f t="shared" si="10"/>
        <v>19</v>
      </c>
      <c r="O21" s="15"/>
      <c r="P21" s="39"/>
      <c r="Q21" s="2"/>
      <c r="R21" s="2"/>
      <c r="S21" s="11"/>
    </row>
    <row r="22" spans="1:25" x14ac:dyDescent="0.2">
      <c r="A22" s="10"/>
      <c r="B22" s="3"/>
      <c r="C22" s="6"/>
      <c r="D22" s="160">
        <f t="shared" si="7"/>
        <v>20</v>
      </c>
      <c r="E22" s="163">
        <f t="shared" si="8"/>
        <v>702028.42289178958</v>
      </c>
      <c r="F22" s="107">
        <f t="shared" si="0"/>
        <v>448431.67809955688</v>
      </c>
      <c r="G22" s="108">
        <f t="shared" si="1"/>
        <v>253596.7447922327</v>
      </c>
      <c r="H22" s="109">
        <f t="shared" si="2"/>
        <v>101438.69791689308</v>
      </c>
      <c r="I22" s="110">
        <f t="shared" si="3"/>
        <v>549870.37601645</v>
      </c>
      <c r="J22" s="151">
        <f t="shared" si="4"/>
        <v>152158.04687533961</v>
      </c>
      <c r="K22" s="79">
        <f t="shared" si="5"/>
        <v>2244865.7347199912</v>
      </c>
      <c r="L22" s="92">
        <f t="shared" si="6"/>
        <v>42.266124132038783</v>
      </c>
      <c r="M22" s="98">
        <f t="shared" si="9"/>
        <v>0.21674057903321273</v>
      </c>
      <c r="N22" s="160">
        <f t="shared" si="10"/>
        <v>20</v>
      </c>
      <c r="O22" s="15"/>
      <c r="P22" s="39"/>
      <c r="Q22" s="2"/>
      <c r="R22" s="2"/>
      <c r="S22" s="11"/>
    </row>
    <row r="23" spans="1:25" ht="16" thickBot="1" x14ac:dyDescent="0.25">
      <c r="A23" s="33" t="s">
        <v>13</v>
      </c>
      <c r="C23" s="3"/>
      <c r="D23" s="160">
        <f t="shared" si="7"/>
        <v>21</v>
      </c>
      <c r="E23" s="163">
        <f t="shared" si="8"/>
        <v>723089.27557854331</v>
      </c>
      <c r="F23" s="107">
        <f t="shared" si="0"/>
        <v>461884.62844254362</v>
      </c>
      <c r="G23" s="108">
        <f t="shared" si="1"/>
        <v>261204.64713599969</v>
      </c>
      <c r="H23" s="109">
        <f t="shared" si="2"/>
        <v>104481.85885439988</v>
      </c>
      <c r="I23" s="110">
        <f t="shared" si="3"/>
        <v>566366.48729694355</v>
      </c>
      <c r="J23" s="151">
        <f t="shared" si="4"/>
        <v>156722.78828159982</v>
      </c>
      <c r="K23" s="79">
        <f t="shared" si="5"/>
        <v>2401588.5230015912</v>
      </c>
      <c r="L23" s="92">
        <f t="shared" si="6"/>
        <v>43.534107855999949</v>
      </c>
      <c r="M23" s="98">
        <f t="shared" si="9"/>
        <v>0.21674057903321275</v>
      </c>
      <c r="N23" s="160">
        <f t="shared" si="10"/>
        <v>21</v>
      </c>
      <c r="O23" s="15"/>
      <c r="P23" s="39"/>
      <c r="Q23" s="2"/>
      <c r="R23" s="2"/>
      <c r="S23" s="11"/>
    </row>
    <row r="24" spans="1:25" ht="17" thickBot="1" x14ac:dyDescent="0.25">
      <c r="A24" s="78" t="s">
        <v>9</v>
      </c>
      <c r="B24" s="75">
        <v>0.03</v>
      </c>
      <c r="C24" s="7"/>
      <c r="D24" s="160">
        <f t="shared" si="7"/>
        <v>22</v>
      </c>
      <c r="E24" s="163">
        <f t="shared" si="8"/>
        <v>744781.95384589967</v>
      </c>
      <c r="F24" s="107">
        <f t="shared" si="0"/>
        <v>475741.16729581996</v>
      </c>
      <c r="G24" s="108">
        <f t="shared" si="1"/>
        <v>269040.78655007971</v>
      </c>
      <c r="H24" s="109">
        <f t="shared" si="2"/>
        <v>107616.31462003189</v>
      </c>
      <c r="I24" s="110">
        <f t="shared" si="3"/>
        <v>583357.48191585182</v>
      </c>
      <c r="J24" s="151">
        <f t="shared" si="4"/>
        <v>161424.47193004782</v>
      </c>
      <c r="K24" s="79">
        <f t="shared" si="5"/>
        <v>2563012.9949316392</v>
      </c>
      <c r="L24" s="92">
        <f t="shared" si="6"/>
        <v>44.84013109167995</v>
      </c>
      <c r="M24" s="98">
        <f t="shared" si="9"/>
        <v>0.21674057903321273</v>
      </c>
      <c r="N24" s="160">
        <f t="shared" si="10"/>
        <v>22</v>
      </c>
      <c r="O24" s="15"/>
      <c r="P24" s="39"/>
      <c r="Q24" s="2"/>
      <c r="R24" s="2"/>
      <c r="S24" s="11"/>
    </row>
    <row r="25" spans="1:25" ht="16" thickBot="1" x14ac:dyDescent="0.25">
      <c r="A25" s="76" t="s">
        <v>14</v>
      </c>
      <c r="B25" s="77">
        <v>2.0000000000000001E-4</v>
      </c>
      <c r="D25" s="160">
        <f t="shared" si="7"/>
        <v>23</v>
      </c>
      <c r="E25" s="163">
        <f t="shared" si="8"/>
        <v>767125.41246127663</v>
      </c>
      <c r="F25" s="107">
        <f t="shared" si="0"/>
        <v>490013.40231469454</v>
      </c>
      <c r="G25" s="108">
        <f t="shared" si="1"/>
        <v>277112.01014658209</v>
      </c>
      <c r="H25" s="109">
        <f t="shared" si="2"/>
        <v>110844.80405863284</v>
      </c>
      <c r="I25" s="110">
        <f t="shared" si="3"/>
        <v>600858.20637332741</v>
      </c>
      <c r="J25" s="151">
        <f t="shared" si="4"/>
        <v>166267.20608794925</v>
      </c>
      <c r="K25" s="79">
        <f t="shared" si="5"/>
        <v>2729280.2010195884</v>
      </c>
      <c r="L25" s="92">
        <f t="shared" si="6"/>
        <v>46.185335024430344</v>
      </c>
      <c r="M25" s="98">
        <f t="shared" si="9"/>
        <v>0.21674057903321273</v>
      </c>
      <c r="N25" s="160">
        <f t="shared" si="10"/>
        <v>23</v>
      </c>
      <c r="O25" s="15"/>
      <c r="P25" s="39"/>
      <c r="Q25" s="2"/>
      <c r="R25" s="2"/>
      <c r="S25" s="11"/>
    </row>
    <row r="26" spans="1:25" x14ac:dyDescent="0.2">
      <c r="D26" s="160">
        <f t="shared" si="7"/>
        <v>24</v>
      </c>
      <c r="E26" s="163">
        <f t="shared" si="8"/>
        <v>790139.17483511497</v>
      </c>
      <c r="F26" s="107">
        <f t="shared" si="0"/>
        <v>504713.80438413541</v>
      </c>
      <c r="G26" s="108">
        <f t="shared" si="1"/>
        <v>285425.37045097956</v>
      </c>
      <c r="H26" s="109">
        <f t="shared" si="2"/>
        <v>114170.14818039183</v>
      </c>
      <c r="I26" s="110">
        <f t="shared" si="3"/>
        <v>618883.95256452728</v>
      </c>
      <c r="J26" s="151">
        <f t="shared" si="4"/>
        <v>171255.22227058775</v>
      </c>
      <c r="K26" s="79">
        <f t="shared" si="5"/>
        <v>2900535.4232901763</v>
      </c>
      <c r="L26" s="92">
        <f t="shared" si="6"/>
        <v>47.570895075163264</v>
      </c>
      <c r="M26" s="98">
        <f t="shared" si="9"/>
        <v>0.21674057903321275</v>
      </c>
      <c r="N26" s="160">
        <f t="shared" si="10"/>
        <v>24</v>
      </c>
      <c r="O26" s="15"/>
      <c r="P26" s="39"/>
      <c r="Q26" s="2"/>
      <c r="R26" s="2"/>
      <c r="S26" s="11"/>
    </row>
    <row r="27" spans="1:25" x14ac:dyDescent="0.2">
      <c r="D27" s="160">
        <f t="shared" si="7"/>
        <v>25</v>
      </c>
      <c r="E27" s="163">
        <f t="shared" si="8"/>
        <v>813843.35008016846</v>
      </c>
      <c r="F27" s="107">
        <f t="shared" si="0"/>
        <v>519855.21851565951</v>
      </c>
      <c r="G27" s="108">
        <f t="shared" si="1"/>
        <v>293988.13156450895</v>
      </c>
      <c r="H27" s="109">
        <f t="shared" si="2"/>
        <v>117595.25262580358</v>
      </c>
      <c r="I27" s="110">
        <f t="shared" si="3"/>
        <v>637450.47114146315</v>
      </c>
      <c r="J27" s="151">
        <f t="shared" si="4"/>
        <v>176392.87893870537</v>
      </c>
      <c r="K27" s="79">
        <f t="shared" si="5"/>
        <v>3076928.3022288815</v>
      </c>
      <c r="L27" s="92">
        <f t="shared" si="6"/>
        <v>48.998021927418158</v>
      </c>
      <c r="M27" s="98">
        <f t="shared" si="9"/>
        <v>0.21674057903321273</v>
      </c>
      <c r="N27" s="160">
        <f t="shared" si="10"/>
        <v>25</v>
      </c>
      <c r="O27" s="15"/>
      <c r="P27" s="39"/>
      <c r="Q27" s="2"/>
      <c r="R27" s="2"/>
      <c r="S27" s="11"/>
    </row>
    <row r="28" spans="1:25" x14ac:dyDescent="0.2">
      <c r="D28" s="160">
        <f t="shared" si="7"/>
        <v>26</v>
      </c>
      <c r="E28" s="163">
        <f t="shared" si="8"/>
        <v>838258.65058257349</v>
      </c>
      <c r="F28" s="107">
        <f t="shared" si="0"/>
        <v>535450.8750711293</v>
      </c>
      <c r="G28" s="108">
        <f t="shared" si="1"/>
        <v>302807.7755114442</v>
      </c>
      <c r="H28" s="109">
        <f t="shared" si="2"/>
        <v>121123.11020457768</v>
      </c>
      <c r="I28" s="110">
        <f t="shared" si="3"/>
        <v>656573.98527570697</v>
      </c>
      <c r="J28" s="151">
        <f t="shared" si="4"/>
        <v>181684.66530686652</v>
      </c>
      <c r="K28" s="79">
        <f t="shared" si="5"/>
        <v>3258612.9675357481</v>
      </c>
      <c r="L28" s="92">
        <f t="shared" si="6"/>
        <v>50.467962585240699</v>
      </c>
      <c r="M28" s="98">
        <f t="shared" si="9"/>
        <v>0.21674057903321273</v>
      </c>
      <c r="N28" s="160">
        <f t="shared" si="10"/>
        <v>26</v>
      </c>
      <c r="O28" s="15"/>
      <c r="P28" s="39"/>
      <c r="Q28" s="2"/>
      <c r="R28" s="2"/>
      <c r="S28" s="11"/>
    </row>
    <row r="29" spans="1:25" x14ac:dyDescent="0.2">
      <c r="D29" s="160">
        <f t="shared" si="7"/>
        <v>27</v>
      </c>
      <c r="E29" s="163">
        <f t="shared" si="8"/>
        <v>863406.41010005074</v>
      </c>
      <c r="F29" s="107">
        <f t="shared" si="0"/>
        <v>551514.40132326318</v>
      </c>
      <c r="G29" s="108">
        <f t="shared" si="1"/>
        <v>311892.00877678755</v>
      </c>
      <c r="H29" s="109">
        <f t="shared" si="2"/>
        <v>124756.80351071502</v>
      </c>
      <c r="I29" s="110">
        <f t="shared" si="3"/>
        <v>676271.2048339782</v>
      </c>
      <c r="J29" s="151">
        <f t="shared" si="4"/>
        <v>187135.20526607253</v>
      </c>
      <c r="K29" s="79">
        <f t="shared" si="5"/>
        <v>3445748.1728018206</v>
      </c>
      <c r="L29" s="92">
        <f t="shared" si="6"/>
        <v>51.982001462797925</v>
      </c>
      <c r="M29" s="98">
        <f t="shared" si="9"/>
        <v>0.21674057903321273</v>
      </c>
      <c r="N29" s="160">
        <f t="shared" si="10"/>
        <v>27</v>
      </c>
      <c r="O29" s="15"/>
      <c r="P29" s="39"/>
      <c r="Q29" s="2"/>
      <c r="R29" s="2"/>
      <c r="S29" s="11"/>
    </row>
    <row r="30" spans="1:25" ht="16" thickBot="1" x14ac:dyDescent="0.25">
      <c r="D30" s="160">
        <f t="shared" si="7"/>
        <v>28</v>
      </c>
      <c r="E30" s="163">
        <f t="shared" si="8"/>
        <v>889308.60240305227</v>
      </c>
      <c r="F30" s="107">
        <f t="shared" si="0"/>
        <v>568059.83336296107</v>
      </c>
      <c r="G30" s="108">
        <f t="shared" si="1"/>
        <v>321248.7690400912</v>
      </c>
      <c r="H30" s="109">
        <f t="shared" si="2"/>
        <v>128499.50761603648</v>
      </c>
      <c r="I30" s="110">
        <f t="shared" si="3"/>
        <v>696559.34097899753</v>
      </c>
      <c r="J30" s="151">
        <f t="shared" si="4"/>
        <v>192749.26142405471</v>
      </c>
      <c r="K30" s="79">
        <f t="shared" si="5"/>
        <v>3638497.4342258754</v>
      </c>
      <c r="L30" s="92">
        <f t="shared" si="6"/>
        <v>53.541461506681863</v>
      </c>
      <c r="M30" s="98">
        <f t="shared" si="9"/>
        <v>0.21674057903321273</v>
      </c>
      <c r="N30" s="144">
        <f t="shared" si="10"/>
        <v>28</v>
      </c>
      <c r="O30" s="15"/>
      <c r="P30" s="39"/>
      <c r="Q30" s="2"/>
      <c r="R30" s="2"/>
      <c r="S30" s="11"/>
    </row>
    <row r="31" spans="1:25" ht="16" thickBot="1" x14ac:dyDescent="0.25">
      <c r="A31" s="58" t="s">
        <v>26</v>
      </c>
      <c r="B31" s="85">
        <f>B13*0.075</f>
        <v>174975</v>
      </c>
      <c r="C31" s="56"/>
      <c r="D31" s="160">
        <f t="shared" si="7"/>
        <v>29</v>
      </c>
      <c r="E31" s="163">
        <f t="shared" si="8"/>
        <v>915987.86047514388</v>
      </c>
      <c r="F31" s="107">
        <f t="shared" si="0"/>
        <v>585101.62836384994</v>
      </c>
      <c r="G31" s="108">
        <f t="shared" si="1"/>
        <v>330886.23211129394</v>
      </c>
      <c r="H31" s="109">
        <f t="shared" si="2"/>
        <v>132354.49284451758</v>
      </c>
      <c r="I31" s="110">
        <f t="shared" si="3"/>
        <v>717456.12120836752</v>
      </c>
      <c r="J31" s="151">
        <f t="shared" si="4"/>
        <v>198531.73926677636</v>
      </c>
      <c r="K31" s="79">
        <f t="shared" si="5"/>
        <v>3837029.1734926519</v>
      </c>
      <c r="L31" s="92">
        <f t="shared" si="6"/>
        <v>55.147705351882323</v>
      </c>
      <c r="M31" s="98">
        <f t="shared" si="9"/>
        <v>0.21674057903321273</v>
      </c>
      <c r="N31" s="144">
        <f t="shared" si="10"/>
        <v>29</v>
      </c>
      <c r="O31" s="15"/>
      <c r="P31" s="39"/>
      <c r="Q31" s="2"/>
      <c r="R31" s="2"/>
      <c r="S31" s="11"/>
    </row>
    <row r="32" spans="1:25" ht="16" thickBot="1" x14ac:dyDescent="0.25">
      <c r="A32" s="83" t="s">
        <v>19</v>
      </c>
      <c r="B32" s="84">
        <f>K7</f>
        <v>373919.2615957025</v>
      </c>
      <c r="C32" s="142"/>
      <c r="D32" s="146">
        <v>30</v>
      </c>
      <c r="E32" s="164">
        <f t="shared" si="8"/>
        <v>943467.49628939817</v>
      </c>
      <c r="F32" s="132">
        <f t="shared" si="0"/>
        <v>602654.67721476546</v>
      </c>
      <c r="G32" s="133">
        <f t="shared" si="1"/>
        <v>340812.81907463277</v>
      </c>
      <c r="H32" s="134">
        <f t="shared" si="2"/>
        <v>136325.12762985312</v>
      </c>
      <c r="I32" s="135">
        <f t="shared" si="3"/>
        <v>738979.80484461854</v>
      </c>
      <c r="J32" s="153">
        <f t="shared" si="4"/>
        <v>204487.69144477966</v>
      </c>
      <c r="K32" s="80">
        <f t="shared" si="5"/>
        <v>4041516.8649374316</v>
      </c>
      <c r="L32" s="93">
        <f t="shared" si="6"/>
        <v>56.802136512438793</v>
      </c>
      <c r="M32" s="98">
        <f t="shared" si="9"/>
        <v>0.21674057903321275</v>
      </c>
      <c r="N32" s="161">
        <v>30</v>
      </c>
      <c r="O32" s="40"/>
      <c r="P32" s="41"/>
      <c r="Q32" s="2"/>
      <c r="R32" s="2"/>
      <c r="S32" s="11"/>
    </row>
    <row r="33" spans="1:18" ht="16" thickBot="1" x14ac:dyDescent="0.25">
      <c r="A33" s="55" t="s">
        <v>11</v>
      </c>
      <c r="B33" s="56"/>
      <c r="C33" s="57"/>
      <c r="D33" s="46"/>
      <c r="E33" s="47"/>
      <c r="F33" s="47"/>
      <c r="G33" s="48"/>
      <c r="H33" s="49"/>
      <c r="I33" s="49"/>
      <c r="J33" s="48"/>
      <c r="K33" s="50">
        <f>K32</f>
        <v>4041516.8649374316</v>
      </c>
      <c r="L33" s="49"/>
      <c r="M33" s="49"/>
      <c r="N33" s="51"/>
      <c r="O33" s="40"/>
      <c r="P33" s="41"/>
      <c r="Q33" s="2"/>
      <c r="R33" s="2"/>
    </row>
    <row r="35" spans="1:18" ht="30" customHeight="1" x14ac:dyDescent="0.2">
      <c r="N35" s="12"/>
      <c r="O35" s="12"/>
      <c r="P35" s="12"/>
      <c r="Q35" s="12"/>
      <c r="R35" s="12"/>
    </row>
  </sheetData>
  <mergeCells count="1">
    <mergeCell ref="D1:P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400 Humberline-ITC</vt:lpstr>
      <vt:lpstr>400 Humberline-ITC &amp; IESO</vt:lpstr>
      <vt:lpstr>400 Humberline Cash Back</vt:lpstr>
      <vt:lpstr>'400 Humberline-ITC'!Print_Area</vt:lpstr>
      <vt:lpstr>'400 Humberline-ITC &amp; IESO'!Print_Area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Suneet Tuli</dc:creator>
  <cp:lastModifiedBy>mark segall</cp:lastModifiedBy>
  <cp:lastPrinted>2025-10-08T02:13:29Z</cp:lastPrinted>
  <dcterms:created xsi:type="dcterms:W3CDTF">2025-08-18T14:55:50Z</dcterms:created>
  <dcterms:modified xsi:type="dcterms:W3CDTF">2025-12-04T16:21:12Z</dcterms:modified>
</cp:coreProperties>
</file>