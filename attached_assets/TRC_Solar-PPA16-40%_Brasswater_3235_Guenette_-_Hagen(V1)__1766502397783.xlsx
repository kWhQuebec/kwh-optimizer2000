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rksegall/Downloads/"/>
    </mc:Choice>
  </mc:AlternateContent>
  <xr:revisionPtr revIDLastSave="0" documentId="8_{63807749-DC2B-3D47-9622-1BEA6FE4CDD6}" xr6:coauthVersionLast="47" xr6:coauthVersionMax="47" xr10:uidLastSave="{00000000-0000-0000-0000-000000000000}"/>
  <bookViews>
    <workbookView xWindow="0" yWindow="680" windowWidth="25600" windowHeight="15960" xr2:uid="{CC7FAE64-6E4C-4E79-AA8C-B31133EC0390}"/>
  </bookViews>
  <sheets>
    <sheet name="Brasswater 3235 Guenette " sheetId="2" r:id="rId1"/>
  </sheets>
  <definedNames>
    <definedName name="_xlnm.Print_Area" localSheetId="0">'Brasswater 3235 Guenette '!$A$1:$M$35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2" i="2" l="1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B9" i="2"/>
  <c r="B7" i="2"/>
  <c r="J3" i="2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l="1"/>
  <c r="B13" i="2" l="1"/>
  <c r="B16" i="2" s="1"/>
  <c r="H3" i="2"/>
  <c r="O4" i="2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K3" i="2" l="1"/>
  <c r="V9" i="2"/>
  <c r="G3" i="2"/>
  <c r="F3" i="2" s="1"/>
  <c r="L3" i="2" l="1"/>
  <c r="G4" i="2"/>
  <c r="F4" i="2" l="1"/>
  <c r="H4" i="2"/>
  <c r="G5" i="2"/>
  <c r="F5" i="2" s="1"/>
  <c r="J4" i="2" l="1"/>
  <c r="K4" i="2"/>
  <c r="L4" i="2" s="1"/>
  <c r="H5" i="2"/>
  <c r="J5" i="2" s="1"/>
  <c r="G6" i="2"/>
  <c r="F6" i="2" s="1"/>
  <c r="M4" i="2" l="1"/>
  <c r="K5" i="2"/>
  <c r="M5" i="2" s="1"/>
  <c r="H6" i="2"/>
  <c r="J6" i="2" s="1"/>
  <c r="G7" i="2"/>
  <c r="F7" i="2" s="1"/>
  <c r="K6" i="2" l="1"/>
  <c r="M6" i="2" s="1"/>
  <c r="L5" i="2"/>
  <c r="H7" i="2"/>
  <c r="J7" i="2" s="1"/>
  <c r="G8" i="2"/>
  <c r="F8" i="2" s="1"/>
  <c r="L6" i="2" l="1"/>
  <c r="K7" i="2"/>
  <c r="M7" i="2" s="1"/>
  <c r="H8" i="2"/>
  <c r="J8" i="2" s="1"/>
  <c r="G9" i="2"/>
  <c r="F9" i="2" s="1"/>
  <c r="L7" i="2" l="1"/>
  <c r="K8" i="2"/>
  <c r="M8" i="2" s="1"/>
  <c r="H9" i="2"/>
  <c r="J9" i="2" s="1"/>
  <c r="G10" i="2"/>
  <c r="F10" i="2" s="1"/>
  <c r="L8" i="2" l="1"/>
  <c r="K9" i="2"/>
  <c r="M9" i="2" s="1"/>
  <c r="H10" i="2"/>
  <c r="J10" i="2" s="1"/>
  <c r="G11" i="2"/>
  <c r="F11" i="2" s="1"/>
  <c r="L9" i="2" l="1"/>
  <c r="K10" i="2"/>
  <c r="M10" i="2" s="1"/>
  <c r="H11" i="2"/>
  <c r="J11" i="2" s="1"/>
  <c r="G12" i="2"/>
  <c r="F12" i="2" s="1"/>
  <c r="K11" i="2" l="1"/>
  <c r="M11" i="2" s="1"/>
  <c r="L10" i="2"/>
  <c r="H12" i="2"/>
  <c r="J12" i="2" s="1"/>
  <c r="G13" i="2"/>
  <c r="F13" i="2" s="1"/>
  <c r="L11" i="2" l="1"/>
  <c r="K12" i="2"/>
  <c r="M12" i="2" s="1"/>
  <c r="H13" i="2"/>
  <c r="J13" i="2" s="1"/>
  <c r="G14" i="2"/>
  <c r="G15" i="2" l="1"/>
  <c r="F15" i="2" s="1"/>
  <c r="F14" i="2"/>
  <c r="L12" i="2"/>
  <c r="K13" i="2"/>
  <c r="M13" i="2" s="1"/>
  <c r="H14" i="2"/>
  <c r="J14" i="2" l="1"/>
  <c r="G16" i="2"/>
  <c r="F16" i="2" s="1"/>
  <c r="H15" i="2"/>
  <c r="J15" i="2" s="1"/>
  <c r="L13" i="2"/>
  <c r="K14" i="2"/>
  <c r="M14" i="2" s="1"/>
  <c r="G17" i="2" l="1"/>
  <c r="F17" i="2" s="1"/>
  <c r="H16" i="2"/>
  <c r="J16" i="2" s="1"/>
  <c r="K15" i="2"/>
  <c r="M15" i="2" s="1"/>
  <c r="L14" i="2"/>
  <c r="H17" i="2" l="1"/>
  <c r="J17" i="2" s="1"/>
  <c r="K16" i="2"/>
  <c r="M16" i="2" s="1"/>
  <c r="G18" i="2"/>
  <c r="F18" i="2" s="1"/>
  <c r="L15" i="2"/>
  <c r="K17" i="2" l="1"/>
  <c r="M17" i="2" s="1"/>
  <c r="L16" i="2"/>
  <c r="H18" i="2"/>
  <c r="J18" i="2" s="1"/>
  <c r="G19" i="2"/>
  <c r="L17" i="2"/>
  <c r="F19" i="2" l="1"/>
  <c r="J19" i="2" s="1"/>
  <c r="I19" i="2"/>
  <c r="G20" i="2"/>
  <c r="K18" i="2"/>
  <c r="M18" i="2" s="1"/>
  <c r="L18" i="2"/>
  <c r="B32" i="2" s="1"/>
  <c r="K19" i="2"/>
  <c r="L19" i="2" s="1"/>
  <c r="G21" i="2"/>
  <c r="I21" i="2" s="1"/>
  <c r="F20" i="2" l="1"/>
  <c r="J20" i="2" s="1"/>
  <c r="I20" i="2"/>
  <c r="F21" i="2"/>
  <c r="J21" i="2" s="1"/>
  <c r="M19" i="2"/>
  <c r="K20" i="2"/>
  <c r="L20" i="2" s="1"/>
  <c r="G22" i="2"/>
  <c r="I22" i="2" s="1"/>
  <c r="F22" i="2" l="1"/>
  <c r="J22" i="2" s="1"/>
  <c r="M20" i="2"/>
  <c r="K21" i="2"/>
  <c r="L21" i="2" s="1"/>
  <c r="G23" i="2"/>
  <c r="I23" i="2" s="1"/>
  <c r="F23" i="2" l="1"/>
  <c r="J23" i="2" s="1"/>
  <c r="M21" i="2"/>
  <c r="K22" i="2"/>
  <c r="L22" i="2" s="1"/>
  <c r="G24" i="2"/>
  <c r="I24" i="2" s="1"/>
  <c r="F24" i="2" l="1"/>
  <c r="J24" i="2" s="1"/>
  <c r="K23" i="2"/>
  <c r="L23" i="2" s="1"/>
  <c r="L24" i="2" s="1"/>
  <c r="M22" i="2"/>
  <c r="K24" i="2"/>
  <c r="G25" i="2"/>
  <c r="I25" i="2" s="1"/>
  <c r="F25" i="2" l="1"/>
  <c r="J25" i="2" s="1"/>
  <c r="M23" i="2"/>
  <c r="M24" i="2"/>
  <c r="G26" i="2"/>
  <c r="I26" i="2" s="1"/>
  <c r="F26" i="2" l="1"/>
  <c r="J26" i="2" s="1"/>
  <c r="K25" i="2"/>
  <c r="L25" i="2" s="1"/>
  <c r="G27" i="2"/>
  <c r="I27" i="2" s="1"/>
  <c r="F27" i="2" l="1"/>
  <c r="J27" i="2" s="1"/>
  <c r="M25" i="2"/>
  <c r="K26" i="2"/>
  <c r="L26" i="2" s="1"/>
  <c r="G28" i="2"/>
  <c r="I28" i="2" s="1"/>
  <c r="M26" i="2" l="1"/>
  <c r="F28" i="2"/>
  <c r="J28" i="2" s="1"/>
  <c r="K27" i="2"/>
  <c r="L27" i="2" s="1"/>
  <c r="G29" i="2"/>
  <c r="I29" i="2" s="1"/>
  <c r="F29" i="2" l="1"/>
  <c r="J29" i="2" s="1"/>
  <c r="M27" i="2"/>
  <c r="K28" i="2"/>
  <c r="L28" i="2" s="1"/>
  <c r="L29" i="2" s="1"/>
  <c r="K29" i="2"/>
  <c r="G30" i="2"/>
  <c r="I30" i="2" s="1"/>
  <c r="F30" i="2" l="1"/>
  <c r="J30" i="2" s="1"/>
  <c r="M28" i="2"/>
  <c r="M29" i="2"/>
  <c r="G31" i="2"/>
  <c r="I31" i="2" s="1"/>
  <c r="G32" i="2" l="1"/>
  <c r="I32" i="2" s="1"/>
  <c r="F31" i="2"/>
  <c r="J31" i="2" s="1"/>
  <c r="K30" i="2"/>
  <c r="M30" i="2" l="1"/>
  <c r="L30" i="2"/>
  <c r="F32" i="2"/>
  <c r="J32" i="2" s="1"/>
  <c r="K32" i="2"/>
  <c r="K31" i="2"/>
  <c r="M31" i="2" s="1"/>
  <c r="L31" i="2" l="1"/>
  <c r="L32" i="2" s="1"/>
  <c r="L33" i="2"/>
  <c r="M32" i="2"/>
</calcChain>
</file>

<file path=xl/sharedStrings.xml><?xml version="1.0" encoding="utf-8"?>
<sst xmlns="http://schemas.openxmlformats.org/spreadsheetml/2006/main" count="33" uniqueCount="32">
  <si>
    <t>Year</t>
  </si>
  <si>
    <t>Cumulative Savings</t>
  </si>
  <si>
    <t>Elec Rate/kWh</t>
  </si>
  <si>
    <t>Project Cost/kW</t>
  </si>
  <si>
    <t>Total Project Construction Cost</t>
  </si>
  <si>
    <t>Value of Energy Supplied by Solar</t>
  </si>
  <si>
    <t>Potential Project size (kW)</t>
  </si>
  <si>
    <t>Cost of Energy Year 1</t>
  </si>
  <si>
    <t>Annual Inflation</t>
  </si>
  <si>
    <t>Roof Size Req'd for Solar (Sq.m)</t>
  </si>
  <si>
    <t xml:space="preserve">Clients Energy Cost Savings Over 30 Year System Lifespan </t>
  </si>
  <si>
    <t>Savings/Revenue on the cost of Solar Power</t>
  </si>
  <si>
    <t>Assumptions</t>
  </si>
  <si>
    <t>Annual Panel Degradation</t>
  </si>
  <si>
    <t>Solar Energy Generation Capacity (KWh)</t>
  </si>
  <si>
    <t>Sun hours = 70% of Total Consumption</t>
  </si>
  <si>
    <t>Annual Solar Power Generation value</t>
  </si>
  <si>
    <t>Cost of Energy year 2-16</t>
  </si>
  <si>
    <t>Federal ITC</t>
  </si>
  <si>
    <t>Clients Energy Cost Savings Over PPA term</t>
  </si>
  <si>
    <t>Proposal #112525a - Dec 22,  2025</t>
  </si>
  <si>
    <t xml:space="preserve">ITC Model: 60,000 sq. ft. of roof coverage by Solar power plant. No out-of-pocket upfront expenditures by the customer.  Power-Purchase-Agreement providing energy at 40% savings over utility. Full ownership after 16 years. </t>
  </si>
  <si>
    <t xml:space="preserve">Brasswater:  3235 Guenette, VSL. Mtl.                           Tenant: Hagen                                                                 </t>
  </si>
  <si>
    <t>Combined energy cost of Solar and Hydro Quebec</t>
  </si>
  <si>
    <t>Projected invoicing from Hydro Quebec</t>
  </si>
  <si>
    <t>TRC Solar power Invoicing</t>
  </si>
  <si>
    <t>Maintenance and Insurance cost = 7% of Solar power value</t>
  </si>
  <si>
    <t>Revenue/Sq.m.</t>
  </si>
  <si>
    <t>Hydro Quebec cost with 3% inflation</t>
  </si>
  <si>
    <t xml:space="preserve">Combined Savings % </t>
  </si>
  <si>
    <t>Cost of Energy year 17-30</t>
  </si>
  <si>
    <t>Maint. &amp; 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</si>
</sst>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_-;\-* #,##0_-;_-* &quot;-&quot;??_-;_-@_-"/>
    <numFmt numFmtId="167" formatCode="_-&quot;$&quot;* #,##0.000_-;\-&quot;$&quot;* #,##0.000_-;_-&quot;$&quot;* &quot;-&quot;??_-;_-@_-"/>
    <numFmt numFmtId="168" formatCode="_-&quot;$&quot;* #,##0_-;\-&quot;$&quot;* #,##0_-;_-&quot;$&quot;* &quot;-&quot;???_-;_-@_-"/>
    <numFmt numFmtId="169" formatCode="_-&quot;$&quot;* #,##0_-;\-&quot;$&quot;* #,##0_-;_-&quot;$&quot;* &quot;-&quot;??_-;_-@_-"/>
    <numFmt numFmtId="170" formatCode="_-&quot;$&quot;* #,##0.00000_-;\-&quot;$&quot;* #,##0.00000_-;_-&quot;$&quot;* &quot;-&quot;??_-;_-@_-"/>
    <numFmt numFmtId="171" formatCode="_-* #,##0.0_-;\-* #,##0.0_-;_-* &quot;-&quot;??_-;_-@_-"/>
    <numFmt numFmtId="172" formatCode="#,##0.0000_);\(#,##0.0000\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1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2" fillId="0" borderId="0" xfId="0" applyFont="1" applyAlignment="1">
      <alignment horizontal="center" vertical="center" wrapText="1"/>
    </xf>
    <xf numFmtId="166" fontId="0" fillId="0" borderId="0" xfId="1" applyNumberFormat="1" applyFont="1" applyFill="1"/>
    <xf numFmtId="169" fontId="0" fillId="0" borderId="0" xfId="2" applyNumberFormat="1" applyFont="1" applyFill="1"/>
    <xf numFmtId="167" fontId="0" fillId="0" borderId="0" xfId="2" applyNumberFormat="1" applyFont="1" applyFill="1"/>
    <xf numFmtId="168" fontId="0" fillId="0" borderId="0" xfId="0" applyNumberFormat="1"/>
    <xf numFmtId="9" fontId="0" fillId="0" borderId="0" xfId="3" applyFont="1" applyFill="1"/>
    <xf numFmtId="165" fontId="0" fillId="0" borderId="0" xfId="1" applyFont="1" applyFill="1"/>
    <xf numFmtId="164" fontId="0" fillId="0" borderId="0" xfId="2" applyFont="1" applyFill="1"/>
    <xf numFmtId="169" fontId="0" fillId="0" borderId="0" xfId="2" applyNumberFormat="1" applyFont="1" applyFill="1" applyBorder="1"/>
    <xf numFmtId="0" fontId="2" fillId="0" borderId="0" xfId="0" applyFont="1"/>
    <xf numFmtId="164" fontId="0" fillId="0" borderId="0" xfId="0" applyNumberFormat="1"/>
    <xf numFmtId="0" fontId="3" fillId="0" borderId="0" xfId="0" applyFont="1" applyAlignment="1">
      <alignment wrapText="1"/>
    </xf>
    <xf numFmtId="167" fontId="0" fillId="0" borderId="0" xfId="2" applyNumberFormat="1" applyFont="1"/>
    <xf numFmtId="167" fontId="2" fillId="0" borderId="0" xfId="2" applyNumberFormat="1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1" applyNumberFormat="1" applyFont="1" applyBorder="1"/>
    <xf numFmtId="167" fontId="0" fillId="0" borderId="0" xfId="2" applyNumberFormat="1" applyFont="1" applyBorder="1"/>
    <xf numFmtId="165" fontId="0" fillId="0" borderId="0" xfId="0" applyNumberFormat="1"/>
    <xf numFmtId="169" fontId="0" fillId="0" borderId="0" xfId="0" applyNumberFormat="1"/>
    <xf numFmtId="9" fontId="0" fillId="0" borderId="0" xfId="0" applyNumberFormat="1"/>
    <xf numFmtId="170" fontId="0" fillId="0" borderId="0" xfId="0" applyNumberFormat="1"/>
    <xf numFmtId="167" fontId="0" fillId="0" borderId="0" xfId="0" applyNumberFormat="1"/>
    <xf numFmtId="169" fontId="4" fillId="0" borderId="0" xfId="0" applyNumberFormat="1" applyFont="1"/>
    <xf numFmtId="169" fontId="6" fillId="0" borderId="0" xfId="2" applyNumberFormat="1" applyFont="1" applyFill="1"/>
    <xf numFmtId="0" fontId="2" fillId="0" borderId="1" xfId="0" applyFont="1" applyBorder="1"/>
    <xf numFmtId="0" fontId="0" fillId="0" borderId="4" xfId="0" applyBorder="1"/>
    <xf numFmtId="166" fontId="0" fillId="0" borderId="5" xfId="1" applyNumberFormat="1" applyFont="1" applyFill="1" applyBorder="1"/>
    <xf numFmtId="0" fontId="6" fillId="0" borderId="0" xfId="0" applyFont="1"/>
    <xf numFmtId="169" fontId="5" fillId="2" borderId="4" xfId="2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9" fontId="2" fillId="0" borderId="4" xfId="2" applyNumberFormat="1" applyFont="1" applyFill="1" applyBorder="1" applyAlignment="1">
      <alignment horizontal="center" vertical="center" wrapText="1"/>
    </xf>
    <xf numFmtId="0" fontId="5" fillId="0" borderId="0" xfId="0" applyFont="1"/>
    <xf numFmtId="0" fontId="2" fillId="0" borderId="0" xfId="0" applyFont="1" applyAlignment="1">
      <alignment wrapText="1"/>
    </xf>
    <xf numFmtId="42" fontId="0" fillId="0" borderId="0" xfId="1" applyNumberFormat="1" applyFont="1" applyFill="1" applyBorder="1"/>
    <xf numFmtId="164" fontId="2" fillId="3" borderId="4" xfId="2" applyFont="1" applyFill="1" applyBorder="1" applyAlignment="1">
      <alignment horizontal="center" vertical="center" wrapText="1"/>
    </xf>
    <xf numFmtId="164" fontId="2" fillId="0" borderId="3" xfId="2" applyFont="1" applyFill="1" applyBorder="1" applyAlignment="1">
      <alignment horizontal="center" vertical="center" wrapText="1"/>
    </xf>
    <xf numFmtId="169" fontId="0" fillId="3" borderId="9" xfId="2" applyNumberFormat="1" applyFont="1" applyFill="1" applyBorder="1"/>
    <xf numFmtId="0" fontId="2" fillId="0" borderId="11" xfId="0" applyFont="1" applyBorder="1" applyAlignment="1">
      <alignment horizontal="center" vertical="center" wrapText="1"/>
    </xf>
    <xf numFmtId="166" fontId="0" fillId="0" borderId="11" xfId="1" applyNumberFormat="1" applyFont="1" applyFill="1" applyBorder="1"/>
    <xf numFmtId="166" fontId="0" fillId="0" borderId="7" xfId="1" applyNumberFormat="1" applyFont="1" applyFill="1" applyBorder="1"/>
    <xf numFmtId="166" fontId="0" fillId="0" borderId="12" xfId="1" applyNumberFormat="1" applyFont="1" applyFill="1" applyBorder="1"/>
    <xf numFmtId="166" fontId="0" fillId="3" borderId="2" xfId="1" applyNumberFormat="1" applyFont="1" applyFill="1" applyBorder="1"/>
    <xf numFmtId="169" fontId="2" fillId="3" borderId="2" xfId="2" applyNumberFormat="1" applyFont="1" applyFill="1" applyBorder="1" applyAlignment="1">
      <alignment vertical="top" wrapText="1"/>
    </xf>
    <xf numFmtId="164" fontId="2" fillId="3" borderId="2" xfId="2" applyFont="1" applyFill="1" applyBorder="1" applyAlignment="1">
      <alignment vertical="top" wrapText="1"/>
    </xf>
    <xf numFmtId="164" fontId="0" fillId="3" borderId="9" xfId="2" applyFont="1" applyFill="1" applyBorder="1"/>
    <xf numFmtId="0" fontId="6" fillId="3" borderId="21" xfId="0" applyFont="1" applyFill="1" applyBorder="1"/>
    <xf numFmtId="0" fontId="7" fillId="3" borderId="1" xfId="0" applyFont="1" applyFill="1" applyBorder="1"/>
    <xf numFmtId="0" fontId="0" fillId="3" borderId="2" xfId="0" applyFill="1" applyBorder="1"/>
    <xf numFmtId="0" fontId="2" fillId="3" borderId="2" xfId="0" applyFont="1" applyFill="1" applyBorder="1" applyAlignment="1">
      <alignment vertical="top" wrapText="1"/>
    </xf>
    <xf numFmtId="0" fontId="2" fillId="0" borderId="6" xfId="0" applyFont="1" applyBorder="1"/>
    <xf numFmtId="0" fontId="2" fillId="0" borderId="21" xfId="0" applyFont="1" applyBorder="1" applyAlignment="1">
      <alignment vertical="top" wrapText="1"/>
    </xf>
    <xf numFmtId="166" fontId="6" fillId="2" borderId="4" xfId="1" applyNumberFormat="1" applyFont="1" applyFill="1" applyBorder="1"/>
    <xf numFmtId="171" fontId="6" fillId="2" borderId="4" xfId="1" applyNumberFormat="1" applyFont="1" applyFill="1" applyBorder="1"/>
    <xf numFmtId="166" fontId="6" fillId="0" borderId="0" xfId="1" applyNumberFormat="1" applyFont="1" applyFill="1"/>
    <xf numFmtId="37" fontId="6" fillId="0" borderId="0" xfId="1" applyNumberFormat="1" applyFont="1"/>
    <xf numFmtId="168" fontId="6" fillId="0" borderId="0" xfId="0" applyNumberFormat="1" applyFont="1"/>
    <xf numFmtId="169" fontId="6" fillId="0" borderId="3" xfId="2" applyNumberFormat="1" applyFont="1" applyFill="1" applyBorder="1"/>
    <xf numFmtId="9" fontId="6" fillId="0" borderId="23" xfId="0" applyNumberFormat="1" applyFont="1" applyBorder="1"/>
    <xf numFmtId="9" fontId="6" fillId="0" borderId="3" xfId="3" applyFont="1" applyFill="1" applyBorder="1"/>
    <xf numFmtId="10" fontId="6" fillId="0" borderId="3" xfId="0" applyNumberFormat="1" applyFont="1" applyBorder="1"/>
    <xf numFmtId="169" fontId="6" fillId="3" borderId="8" xfId="2" applyNumberFormat="1" applyFont="1" applyFill="1" applyBorder="1"/>
    <xf numFmtId="169" fontId="6" fillId="3" borderId="13" xfId="2" applyNumberFormat="1" applyFont="1" applyFill="1" applyBorder="1"/>
    <xf numFmtId="169" fontId="6" fillId="3" borderId="20" xfId="2" applyNumberFormat="1" applyFont="1" applyFill="1" applyBorder="1"/>
    <xf numFmtId="169" fontId="6" fillId="3" borderId="18" xfId="2" applyNumberFormat="1" applyFont="1" applyFill="1" applyBorder="1"/>
    <xf numFmtId="169" fontId="6" fillId="3" borderId="25" xfId="2" applyNumberFormat="1" applyFont="1" applyFill="1" applyBorder="1"/>
    <xf numFmtId="169" fontId="6" fillId="3" borderId="24" xfId="2" applyNumberFormat="1" applyFont="1" applyFill="1" applyBorder="1"/>
    <xf numFmtId="169" fontId="6" fillId="3" borderId="2" xfId="2" applyNumberFormat="1" applyFont="1" applyFill="1" applyBorder="1"/>
    <xf numFmtId="0" fontId="2" fillId="0" borderId="4" xfId="0" applyFont="1" applyBorder="1" applyAlignment="1">
      <alignment vertical="center" wrapText="1"/>
    </xf>
    <xf numFmtId="169" fontId="6" fillId="3" borderId="9" xfId="2" applyNumberFormat="1" applyFont="1" applyFill="1" applyBorder="1"/>
    <xf numFmtId="169" fontId="6" fillId="3" borderId="27" xfId="2" applyNumberFormat="1" applyFont="1" applyFill="1" applyBorder="1"/>
    <xf numFmtId="169" fontId="6" fillId="3" borderId="21" xfId="0" applyNumberFormat="1" applyFont="1" applyFill="1" applyBorder="1"/>
    <xf numFmtId="0" fontId="0" fillId="3" borderId="22" xfId="0" applyFill="1" applyBorder="1"/>
    <xf numFmtId="169" fontId="2" fillId="0" borderId="3" xfId="2" applyNumberFormat="1" applyFont="1" applyFill="1" applyBorder="1" applyAlignment="1">
      <alignment horizontal="center" vertical="center" wrapText="1"/>
    </xf>
    <xf numFmtId="164" fontId="0" fillId="3" borderId="30" xfId="2" applyFont="1" applyFill="1" applyBorder="1"/>
    <xf numFmtId="166" fontId="0" fillId="0" borderId="6" xfId="1" applyNumberFormat="1" applyFont="1" applyFill="1" applyBorder="1"/>
    <xf numFmtId="42" fontId="0" fillId="0" borderId="7" xfId="1" applyNumberFormat="1" applyFont="1" applyFill="1" applyBorder="1"/>
    <xf numFmtId="169" fontId="0" fillId="0" borderId="7" xfId="2" applyNumberFormat="1" applyFont="1" applyFill="1" applyBorder="1"/>
    <xf numFmtId="169" fontId="6" fillId="3" borderId="31" xfId="2" applyNumberFormat="1" applyFont="1" applyFill="1" applyBorder="1"/>
    <xf numFmtId="166" fontId="0" fillId="0" borderId="3" xfId="1" applyNumberFormat="1" applyFont="1" applyFill="1" applyBorder="1"/>
    <xf numFmtId="166" fontId="6" fillId="0" borderId="10" xfId="1" applyNumberFormat="1" applyFont="1" applyFill="1" applyBorder="1"/>
    <xf numFmtId="166" fontId="6" fillId="0" borderId="16" xfId="1" applyNumberFormat="1" applyFont="1" applyFill="1" applyBorder="1"/>
    <xf numFmtId="166" fontId="6" fillId="0" borderId="15" xfId="1" applyNumberFormat="1" applyFont="1" applyFill="1" applyBorder="1"/>
    <xf numFmtId="166" fontId="6" fillId="0" borderId="17" xfId="1" applyNumberFormat="1" applyFont="1" applyFill="1" applyBorder="1"/>
    <xf numFmtId="0" fontId="2" fillId="3" borderId="4" xfId="0" applyFont="1" applyFill="1" applyBorder="1" applyAlignment="1">
      <alignment horizontal="center" vertical="center" wrapText="1"/>
    </xf>
    <xf numFmtId="169" fontId="6" fillId="0" borderId="3" xfId="2" applyNumberFormat="1" applyFont="1" applyFill="1" applyBorder="1" applyAlignment="1">
      <alignment horizontal="right"/>
    </xf>
    <xf numFmtId="164" fontId="6" fillId="3" borderId="8" xfId="2" applyFont="1" applyFill="1" applyBorder="1"/>
    <xf numFmtId="164" fontId="6" fillId="3" borderId="28" xfId="2" applyFont="1" applyFill="1" applyBorder="1"/>
    <xf numFmtId="164" fontId="6" fillId="3" borderId="13" xfId="2" applyFont="1" applyFill="1" applyBorder="1"/>
    <xf numFmtId="164" fontId="6" fillId="3" borderId="26" xfId="2" applyFont="1" applyFill="1" applyBorder="1"/>
    <xf numFmtId="164" fontId="6" fillId="3" borderId="14" xfId="2" applyFont="1" applyFill="1" applyBorder="1"/>
    <xf numFmtId="164" fontId="6" fillId="3" borderId="29" xfId="2" applyFont="1" applyFill="1" applyBorder="1"/>
    <xf numFmtId="164" fontId="6" fillId="3" borderId="9" xfId="2" applyFont="1" applyFill="1" applyBorder="1"/>
    <xf numFmtId="164" fontId="6" fillId="3" borderId="30" xfId="2" applyFont="1" applyFill="1" applyBorder="1"/>
    <xf numFmtId="164" fontId="6" fillId="3" borderId="18" xfId="2" applyFont="1" applyFill="1" applyBorder="1"/>
    <xf numFmtId="164" fontId="6" fillId="3" borderId="19" xfId="2" applyFont="1" applyFill="1" applyBorder="1"/>
    <xf numFmtId="0" fontId="6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172" fontId="6" fillId="4" borderId="0" xfId="2" applyNumberFormat="1" applyFont="1" applyFill="1"/>
    <xf numFmtId="9" fontId="6" fillId="4" borderId="12" xfId="3" applyFont="1" applyFill="1" applyBorder="1"/>
    <xf numFmtId="169" fontId="6" fillId="4" borderId="0" xfId="2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52916</xdr:rowOff>
    </xdr:from>
    <xdr:to>
      <xdr:col>0</xdr:col>
      <xdr:colOff>2580166</xdr:colOff>
      <xdr:row>0</xdr:row>
      <xdr:rowOff>518584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26F65E-B7B1-7841-BD86-49151BBFA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916"/>
          <a:ext cx="2747806" cy="4656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FA7B-DBC9-4FE3-AD83-988D7AE8ED7F}">
  <sheetPr>
    <pageSetUpPr fitToPage="1"/>
  </sheetPr>
  <dimension ref="A1:AB35"/>
  <sheetViews>
    <sheetView tabSelected="1" topLeftCell="A2" zoomScale="89" zoomScaleNormal="120" workbookViewId="0">
      <selection activeCell="B12" sqref="B12"/>
    </sheetView>
  </sheetViews>
  <sheetFormatPr baseColWidth="10" defaultColWidth="8.83203125" defaultRowHeight="15" x14ac:dyDescent="0.2"/>
  <cols>
    <col min="1" max="1" width="37.6640625" customWidth="1"/>
    <col min="2" max="2" width="14.33203125" customWidth="1"/>
    <col min="3" max="3" width="4.1640625" customWidth="1"/>
    <col min="4" max="4" width="6.1640625" customWidth="1"/>
    <col min="5" max="5" width="15.1640625" customWidth="1"/>
    <col min="6" max="6" width="16.1640625" customWidth="1"/>
    <col min="7" max="7" width="17.1640625" style="3" customWidth="1"/>
    <col min="8" max="9" width="18.5" style="8" customWidth="1"/>
    <col min="10" max="11" width="19.1640625" style="8" customWidth="1"/>
    <col min="12" max="14" width="16" style="8" customWidth="1"/>
    <col min="15" max="15" width="4.6640625" customWidth="1"/>
    <col min="16" max="16" width="4.6640625" hidden="1" customWidth="1"/>
    <col min="17" max="17" width="2" hidden="1" customWidth="1"/>
    <col min="18" max="19" width="4.6640625" customWidth="1"/>
    <col min="20" max="20" width="11.5" bestFit="1" customWidth="1"/>
    <col min="21" max="21" width="13.1640625" bestFit="1" customWidth="1"/>
    <col min="22" max="22" width="11.5" bestFit="1" customWidth="1"/>
    <col min="23" max="23" width="5.1640625" bestFit="1" customWidth="1"/>
    <col min="24" max="24" width="11.5" bestFit="1" customWidth="1"/>
    <col min="25" max="25" width="14.1640625" bestFit="1" customWidth="1"/>
    <col min="26" max="26" width="8.83203125" style="13"/>
    <col min="27" max="27" width="9.83203125" bestFit="1" customWidth="1"/>
  </cols>
  <sheetData>
    <row r="1" spans="1:28" ht="47" customHeight="1" thickBot="1" x14ac:dyDescent="0.25">
      <c r="A1" s="26"/>
      <c r="B1" s="29" t="s">
        <v>20</v>
      </c>
      <c r="D1" s="96" t="s">
        <v>21</v>
      </c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8"/>
    </row>
    <row r="2" spans="1:28" s="1" customFormat="1" ht="64" customHeight="1" thickBot="1" x14ac:dyDescent="0.25">
      <c r="A2" s="68" t="s">
        <v>22</v>
      </c>
      <c r="B2" s="30"/>
      <c r="D2" s="30" t="s">
        <v>0</v>
      </c>
      <c r="E2" s="30" t="s">
        <v>28</v>
      </c>
      <c r="F2" s="30" t="s">
        <v>24</v>
      </c>
      <c r="G2" s="31" t="s">
        <v>5</v>
      </c>
      <c r="H2" s="31" t="s">
        <v>25</v>
      </c>
      <c r="I2" s="73" t="s">
        <v>26</v>
      </c>
      <c r="J2" s="36" t="s">
        <v>23</v>
      </c>
      <c r="K2" s="35" t="s">
        <v>11</v>
      </c>
      <c r="L2" s="35" t="s">
        <v>1</v>
      </c>
      <c r="M2" s="35" t="s">
        <v>27</v>
      </c>
      <c r="N2" s="35" t="s">
        <v>29</v>
      </c>
      <c r="O2" s="84" t="s">
        <v>0</v>
      </c>
      <c r="Q2" s="38"/>
      <c r="Z2" s="14"/>
    </row>
    <row r="3" spans="1:28" ht="16" thickBot="1" x14ac:dyDescent="0.25">
      <c r="A3" s="28" t="s">
        <v>9</v>
      </c>
      <c r="B3" s="52">
        <v>5574</v>
      </c>
      <c r="C3" s="2"/>
      <c r="D3" s="27">
        <v>1</v>
      </c>
      <c r="E3" s="34">
        <v>300000</v>
      </c>
      <c r="F3" s="34">
        <f>E3-G3</f>
        <v>70618.847999999969</v>
      </c>
      <c r="G3" s="9">
        <f>B9</f>
        <v>229381.15200000003</v>
      </c>
      <c r="H3" s="9">
        <f>B9</f>
        <v>229381.15200000003</v>
      </c>
      <c r="I3" s="9">
        <v>0</v>
      </c>
      <c r="J3" s="9">
        <f>E3</f>
        <v>300000</v>
      </c>
      <c r="K3" s="37">
        <f>(H3-$B$9)/$B$9</f>
        <v>0</v>
      </c>
      <c r="L3" s="37">
        <f>K3</f>
        <v>0</v>
      </c>
      <c r="M3" s="45">
        <v>0</v>
      </c>
      <c r="N3" s="74"/>
      <c r="O3" s="83">
        <v>1</v>
      </c>
      <c r="P3" s="15"/>
      <c r="Q3" s="39"/>
      <c r="R3" s="15"/>
      <c r="S3" s="15"/>
      <c r="T3" s="11"/>
      <c r="U3" s="16"/>
      <c r="Z3" s="17"/>
    </row>
    <row r="4" spans="1:28" ht="16" thickBot="1" x14ac:dyDescent="0.25">
      <c r="C4" s="2"/>
      <c r="D4" s="27">
        <f>D3+1</f>
        <v>2</v>
      </c>
      <c r="E4" s="34">
        <f>E3*1.03</f>
        <v>309000</v>
      </c>
      <c r="F4" s="34">
        <f t="shared" ref="F4:F32" si="0">E4-G4</f>
        <v>72737.413439999975</v>
      </c>
      <c r="G4" s="9">
        <f t="shared" ref="G4:G32" si="1">G3*(1+$B$24)</f>
        <v>236262.58656000003</v>
      </c>
      <c r="H4" s="9">
        <f t="shared" ref="H4:H18" si="2">G4*$B$20</f>
        <v>141757.551936</v>
      </c>
      <c r="I4" s="9">
        <v>0</v>
      </c>
      <c r="J4" s="9">
        <f t="shared" ref="J4:J32" si="3">F4+H4</f>
        <v>214494.96537599998</v>
      </c>
      <c r="K4" s="61">
        <f t="shared" ref="K4:K32" si="4">G4-H4</f>
        <v>94505.034624000022</v>
      </c>
      <c r="L4" s="61">
        <f t="shared" ref="L4:L17" si="5">K4+L3</f>
        <v>94505.034624000022</v>
      </c>
      <c r="M4" s="86">
        <f t="shared" ref="M4:M31" si="6">K4/$B$3</f>
        <v>16.954616904198065</v>
      </c>
      <c r="N4" s="87">
        <f>(E4-J4)/E4*100</f>
        <v>30.584153600000008</v>
      </c>
      <c r="O4" s="80">
        <f>O3+1</f>
        <v>2</v>
      </c>
      <c r="P4" s="15"/>
      <c r="Q4" s="39"/>
      <c r="R4" s="15"/>
      <c r="S4" s="15"/>
      <c r="T4" s="11"/>
      <c r="U4" s="18"/>
      <c r="Z4" s="17"/>
      <c r="AB4" s="11"/>
    </row>
    <row r="5" spans="1:28" ht="16" thickBot="1" x14ac:dyDescent="0.25">
      <c r="A5" s="10" t="s">
        <v>6</v>
      </c>
      <c r="B5" s="53">
        <v>1500.4</v>
      </c>
      <c r="C5" s="4"/>
      <c r="D5" s="27">
        <f t="shared" ref="D5:D31" si="7">D4+1</f>
        <v>3</v>
      </c>
      <c r="E5" s="34">
        <f t="shared" ref="E5:E32" si="8">E4*1.03</f>
        <v>318270</v>
      </c>
      <c r="F5" s="34">
        <f t="shared" si="0"/>
        <v>74919.535843199963</v>
      </c>
      <c r="G5" s="9">
        <f t="shared" si="1"/>
        <v>243350.46415680004</v>
      </c>
      <c r="H5" s="9">
        <f t="shared" si="2"/>
        <v>146010.27849408</v>
      </c>
      <c r="I5" s="9">
        <v>0</v>
      </c>
      <c r="J5" s="9">
        <f t="shared" si="3"/>
        <v>220929.81433727997</v>
      </c>
      <c r="K5" s="61">
        <f t="shared" si="4"/>
        <v>97340.185662720032</v>
      </c>
      <c r="L5" s="61">
        <f t="shared" si="5"/>
        <v>191845.22028672005</v>
      </c>
      <c r="M5" s="86">
        <f t="shared" si="6"/>
        <v>17.46325541132401</v>
      </c>
      <c r="N5" s="87">
        <f t="shared" ref="N5:N32" si="9">(E5-J5)/E5*100</f>
        <v>30.584153600000008</v>
      </c>
      <c r="O5" s="80">
        <f t="shared" ref="O5:O31" si="10">O4+1</f>
        <v>3</v>
      </c>
      <c r="P5" s="15"/>
      <c r="Q5" s="39"/>
      <c r="R5" s="15"/>
      <c r="S5" s="15"/>
      <c r="T5" s="11"/>
      <c r="U5" s="18"/>
      <c r="Z5" s="17"/>
    </row>
    <row r="6" spans="1:28" ht="16" x14ac:dyDescent="0.2">
      <c r="A6" s="33" t="s">
        <v>15</v>
      </c>
      <c r="B6" s="54">
        <v>1176</v>
      </c>
      <c r="C6" s="5"/>
      <c r="D6" s="27">
        <f t="shared" si="7"/>
        <v>4</v>
      </c>
      <c r="E6" s="34">
        <f t="shared" si="8"/>
        <v>327818.10000000003</v>
      </c>
      <c r="F6" s="34">
        <f t="shared" si="0"/>
        <v>77167.121918495977</v>
      </c>
      <c r="G6" s="9">
        <f t="shared" si="1"/>
        <v>250650.97808150406</v>
      </c>
      <c r="H6" s="9">
        <f t="shared" si="2"/>
        <v>150390.58684890243</v>
      </c>
      <c r="I6" s="9">
        <v>0</v>
      </c>
      <c r="J6" s="9">
        <f t="shared" si="3"/>
        <v>227557.70876739841</v>
      </c>
      <c r="K6" s="61">
        <f t="shared" si="4"/>
        <v>100260.39123260163</v>
      </c>
      <c r="L6" s="61">
        <f t="shared" si="5"/>
        <v>292105.61151932168</v>
      </c>
      <c r="M6" s="86">
        <f t="shared" si="6"/>
        <v>17.98715307366373</v>
      </c>
      <c r="N6" s="87">
        <f t="shared" si="9"/>
        <v>30.584153600000008</v>
      </c>
      <c r="O6" s="80">
        <f t="shared" si="10"/>
        <v>4</v>
      </c>
      <c r="P6" s="15"/>
      <c r="Q6" s="39"/>
      <c r="R6" s="15"/>
      <c r="S6" s="15"/>
      <c r="T6" s="11"/>
      <c r="Z6" s="17"/>
    </row>
    <row r="7" spans="1:28" x14ac:dyDescent="0.2">
      <c r="A7" s="10" t="s">
        <v>14</v>
      </c>
      <c r="B7" s="55">
        <f>B5*B6</f>
        <v>1764470.4000000001</v>
      </c>
      <c r="D7" s="27">
        <f t="shared" si="7"/>
        <v>5</v>
      </c>
      <c r="E7" s="34">
        <f t="shared" si="8"/>
        <v>337652.64300000004</v>
      </c>
      <c r="F7" s="34">
        <f t="shared" si="0"/>
        <v>79482.135576050845</v>
      </c>
      <c r="G7" s="9">
        <f t="shared" si="1"/>
        <v>258170.5074239492</v>
      </c>
      <c r="H7" s="9">
        <f t="shared" si="2"/>
        <v>154902.3044543695</v>
      </c>
      <c r="I7" s="9">
        <v>0</v>
      </c>
      <c r="J7" s="9">
        <f t="shared" si="3"/>
        <v>234384.44003042034</v>
      </c>
      <c r="K7" s="61">
        <f t="shared" si="4"/>
        <v>103268.2029695797</v>
      </c>
      <c r="L7" s="61">
        <f t="shared" si="5"/>
        <v>395373.81448890141</v>
      </c>
      <c r="M7" s="86">
        <f t="shared" si="6"/>
        <v>18.526767665873646</v>
      </c>
      <c r="N7" s="87">
        <f t="shared" si="9"/>
        <v>30.584153600000008</v>
      </c>
      <c r="O7" s="80">
        <f t="shared" si="10"/>
        <v>5</v>
      </c>
      <c r="P7" s="15"/>
      <c r="Q7" s="39"/>
      <c r="R7" s="15"/>
      <c r="S7" s="15"/>
      <c r="T7" s="11"/>
      <c r="Z7" s="17"/>
    </row>
    <row r="8" spans="1:28" x14ac:dyDescent="0.2">
      <c r="A8" s="10" t="s">
        <v>2</v>
      </c>
      <c r="B8" s="99">
        <v>0.13</v>
      </c>
      <c r="C8" s="3"/>
      <c r="D8" s="27">
        <f t="shared" si="7"/>
        <v>6</v>
      </c>
      <c r="E8" s="34">
        <f t="shared" si="8"/>
        <v>347782.22229000006</v>
      </c>
      <c r="F8" s="34">
        <f t="shared" si="0"/>
        <v>81866.59964333236</v>
      </c>
      <c r="G8" s="9">
        <f t="shared" si="1"/>
        <v>265915.6226466677</v>
      </c>
      <c r="H8" s="9">
        <f t="shared" si="2"/>
        <v>159549.37358800063</v>
      </c>
      <c r="I8" s="9">
        <v>0</v>
      </c>
      <c r="J8" s="9">
        <f t="shared" si="3"/>
        <v>241415.97323133299</v>
      </c>
      <c r="K8" s="61">
        <f t="shared" si="4"/>
        <v>106366.24905866708</v>
      </c>
      <c r="L8" s="61">
        <f t="shared" si="5"/>
        <v>501740.06354756851</v>
      </c>
      <c r="M8" s="86">
        <f t="shared" si="6"/>
        <v>19.082570695849853</v>
      </c>
      <c r="N8" s="87">
        <f t="shared" si="9"/>
        <v>30.584153600000008</v>
      </c>
      <c r="O8" s="80">
        <f t="shared" si="10"/>
        <v>6</v>
      </c>
      <c r="P8" s="15"/>
      <c r="Q8" s="39"/>
      <c r="R8" s="15"/>
      <c r="S8" s="15"/>
      <c r="T8" s="11"/>
      <c r="Z8" s="17"/>
    </row>
    <row r="9" spans="1:28" x14ac:dyDescent="0.2">
      <c r="A9" s="10" t="s">
        <v>16</v>
      </c>
      <c r="B9" s="56">
        <f>B5*B6*B8</f>
        <v>229381.15200000003</v>
      </c>
      <c r="C9" s="3"/>
      <c r="D9" s="27">
        <f t="shared" si="7"/>
        <v>7</v>
      </c>
      <c r="E9" s="34">
        <f t="shared" si="8"/>
        <v>358215.68895870005</v>
      </c>
      <c r="F9" s="34">
        <f t="shared" si="0"/>
        <v>84322.5976326323</v>
      </c>
      <c r="G9" s="9">
        <f t="shared" si="1"/>
        <v>273893.09132606775</v>
      </c>
      <c r="H9" s="9">
        <f t="shared" si="2"/>
        <v>164335.85479564065</v>
      </c>
      <c r="I9" s="9">
        <v>0</v>
      </c>
      <c r="J9" s="9">
        <f t="shared" si="3"/>
        <v>248658.45242827295</v>
      </c>
      <c r="K9" s="61">
        <f t="shared" si="4"/>
        <v>109557.23653042709</v>
      </c>
      <c r="L9" s="61">
        <f t="shared" si="5"/>
        <v>611297.30007799563</v>
      </c>
      <c r="M9" s="86">
        <f t="shared" si="6"/>
        <v>19.65504781672535</v>
      </c>
      <c r="N9" s="87">
        <f t="shared" si="9"/>
        <v>30.584153600000008</v>
      </c>
      <c r="O9" s="80">
        <f t="shared" si="10"/>
        <v>7</v>
      </c>
      <c r="P9" s="15"/>
      <c r="Q9" s="39"/>
      <c r="R9" s="15"/>
      <c r="S9" s="15"/>
      <c r="T9" s="11"/>
      <c r="V9" s="23">
        <f>B13/2</f>
        <v>1750216.6</v>
      </c>
      <c r="Z9" s="17"/>
    </row>
    <row r="10" spans="1:28" x14ac:dyDescent="0.2">
      <c r="C10" s="3"/>
      <c r="D10" s="27">
        <f t="shared" si="7"/>
        <v>8</v>
      </c>
      <c r="E10" s="34">
        <f t="shared" si="8"/>
        <v>368962.15962746105</v>
      </c>
      <c r="F10" s="34">
        <f t="shared" si="0"/>
        <v>86852.275561611285</v>
      </c>
      <c r="G10" s="9">
        <f t="shared" si="1"/>
        <v>282109.88406584976</v>
      </c>
      <c r="H10" s="9">
        <f t="shared" si="2"/>
        <v>169265.93043950986</v>
      </c>
      <c r="I10" s="9">
        <v>0</v>
      </c>
      <c r="J10" s="9">
        <f t="shared" si="3"/>
        <v>256118.20600112114</v>
      </c>
      <c r="K10" s="61">
        <f t="shared" si="4"/>
        <v>112843.95362633991</v>
      </c>
      <c r="L10" s="61">
        <f t="shared" si="5"/>
        <v>724141.25370433554</v>
      </c>
      <c r="M10" s="86">
        <f t="shared" si="6"/>
        <v>20.244699251227107</v>
      </c>
      <c r="N10" s="87">
        <f t="shared" si="9"/>
        <v>30.584153600000008</v>
      </c>
      <c r="O10" s="80">
        <f t="shared" si="10"/>
        <v>8</v>
      </c>
      <c r="P10" s="15"/>
      <c r="Q10" s="39"/>
      <c r="R10" s="15"/>
      <c r="S10" s="15"/>
      <c r="T10" s="11"/>
      <c r="Z10" s="17"/>
    </row>
    <row r="11" spans="1:28" x14ac:dyDescent="0.2">
      <c r="C11" s="3"/>
      <c r="D11" s="27">
        <f t="shared" si="7"/>
        <v>9</v>
      </c>
      <c r="E11" s="34">
        <f t="shared" si="8"/>
        <v>380031.02441628487</v>
      </c>
      <c r="F11" s="34">
        <f t="shared" si="0"/>
        <v>89457.84382845962</v>
      </c>
      <c r="G11" s="9">
        <f t="shared" si="1"/>
        <v>290573.18058782525</v>
      </c>
      <c r="H11" s="9">
        <f t="shared" si="2"/>
        <v>174343.90835269514</v>
      </c>
      <c r="I11" s="9">
        <v>0</v>
      </c>
      <c r="J11" s="9">
        <f t="shared" si="3"/>
        <v>263801.75218115479</v>
      </c>
      <c r="K11" s="61">
        <f t="shared" si="4"/>
        <v>116229.27223513011</v>
      </c>
      <c r="L11" s="61">
        <f t="shared" si="5"/>
        <v>840370.52593946562</v>
      </c>
      <c r="M11" s="86">
        <f t="shared" si="6"/>
        <v>20.852040228763922</v>
      </c>
      <c r="N11" s="87">
        <f t="shared" si="9"/>
        <v>30.584153600000004</v>
      </c>
      <c r="O11" s="80">
        <f t="shared" si="10"/>
        <v>9</v>
      </c>
      <c r="P11" s="15"/>
      <c r="Q11" s="39"/>
      <c r="R11" s="15"/>
      <c r="S11" s="15"/>
      <c r="T11" s="11"/>
      <c r="Z11" s="17"/>
    </row>
    <row r="12" spans="1:28" x14ac:dyDescent="0.2">
      <c r="A12" s="10" t="s">
        <v>3</v>
      </c>
      <c r="B12" s="101">
        <v>2333</v>
      </c>
      <c r="C12" s="9"/>
      <c r="D12" s="27">
        <f t="shared" si="7"/>
        <v>10</v>
      </c>
      <c r="E12" s="34">
        <f t="shared" si="8"/>
        <v>391431.95514877344</v>
      </c>
      <c r="F12" s="34">
        <f t="shared" si="0"/>
        <v>92141.5791433134</v>
      </c>
      <c r="G12" s="9">
        <f t="shared" si="1"/>
        <v>299290.37600546004</v>
      </c>
      <c r="H12" s="9">
        <f t="shared" si="2"/>
        <v>179574.22560327602</v>
      </c>
      <c r="I12" s="9">
        <v>0</v>
      </c>
      <c r="J12" s="9">
        <f t="shared" si="3"/>
        <v>271715.80474658939</v>
      </c>
      <c r="K12" s="61">
        <f t="shared" si="4"/>
        <v>119716.15040218402</v>
      </c>
      <c r="L12" s="61">
        <f t="shared" si="5"/>
        <v>960086.67634164961</v>
      </c>
      <c r="M12" s="86">
        <f t="shared" si="6"/>
        <v>21.477601435626845</v>
      </c>
      <c r="N12" s="87">
        <f t="shared" si="9"/>
        <v>30.584153600000018</v>
      </c>
      <c r="O12" s="80">
        <f t="shared" si="10"/>
        <v>10</v>
      </c>
      <c r="P12" s="15"/>
      <c r="Q12" s="39"/>
      <c r="R12" s="15"/>
      <c r="S12" s="15"/>
      <c r="T12" s="11"/>
      <c r="X12" s="19"/>
      <c r="Z12" s="17"/>
      <c r="AA12" s="20"/>
    </row>
    <row r="13" spans="1:28" x14ac:dyDescent="0.2">
      <c r="A13" s="10" t="s">
        <v>4</v>
      </c>
      <c r="B13" s="24">
        <f>B12*B5</f>
        <v>3500433.2</v>
      </c>
      <c r="C13" s="3"/>
      <c r="D13" s="27">
        <f t="shared" si="7"/>
        <v>11</v>
      </c>
      <c r="E13" s="34">
        <f t="shared" si="8"/>
        <v>403174.91380323668</v>
      </c>
      <c r="F13" s="34">
        <f t="shared" si="0"/>
        <v>94905.826517612848</v>
      </c>
      <c r="G13" s="9">
        <f t="shared" si="1"/>
        <v>308269.08728562383</v>
      </c>
      <c r="H13" s="9">
        <f t="shared" si="2"/>
        <v>184961.4523713743</v>
      </c>
      <c r="I13" s="9">
        <v>0</v>
      </c>
      <c r="J13" s="9">
        <f t="shared" si="3"/>
        <v>279867.27888898714</v>
      </c>
      <c r="K13" s="61">
        <f t="shared" si="4"/>
        <v>123307.63491424953</v>
      </c>
      <c r="L13" s="61">
        <f t="shared" si="5"/>
        <v>1083394.3112558993</v>
      </c>
      <c r="M13" s="86">
        <f t="shared" si="6"/>
        <v>22.121929478695645</v>
      </c>
      <c r="N13" s="87">
        <f t="shared" si="9"/>
        <v>30.584153600000008</v>
      </c>
      <c r="O13" s="80">
        <f t="shared" si="10"/>
        <v>11</v>
      </c>
      <c r="P13" s="15"/>
      <c r="Q13" s="39"/>
      <c r="R13" s="15"/>
      <c r="S13" s="15"/>
      <c r="T13" s="11"/>
      <c r="Z13" s="17"/>
    </row>
    <row r="14" spans="1:28" x14ac:dyDescent="0.2">
      <c r="A14" s="10"/>
      <c r="B14" s="3"/>
      <c r="C14" s="3"/>
      <c r="D14" s="27">
        <f t="shared" si="7"/>
        <v>12</v>
      </c>
      <c r="E14" s="34">
        <f t="shared" si="8"/>
        <v>415270.16121733381</v>
      </c>
      <c r="F14" s="34">
        <f t="shared" si="0"/>
        <v>97753.001313141256</v>
      </c>
      <c r="G14" s="9">
        <f t="shared" si="1"/>
        <v>317517.15990419255</v>
      </c>
      <c r="H14" s="9">
        <f t="shared" si="2"/>
        <v>190510.29594251551</v>
      </c>
      <c r="I14" s="9">
        <v>0</v>
      </c>
      <c r="J14" s="9">
        <f t="shared" si="3"/>
        <v>288263.2972556568</v>
      </c>
      <c r="K14" s="61">
        <f t="shared" si="4"/>
        <v>127006.86396167704</v>
      </c>
      <c r="L14" s="61">
        <f t="shared" si="5"/>
        <v>1210401.1752175763</v>
      </c>
      <c r="M14" s="86">
        <f t="shared" si="6"/>
        <v>22.785587363056518</v>
      </c>
      <c r="N14" s="87">
        <f t="shared" si="9"/>
        <v>30.584153600000004</v>
      </c>
      <c r="O14" s="80">
        <f t="shared" si="10"/>
        <v>12</v>
      </c>
      <c r="P14" s="15"/>
      <c r="Q14" s="39"/>
      <c r="R14" s="15"/>
      <c r="S14" s="15"/>
      <c r="T14" s="11"/>
      <c r="Z14" s="17"/>
    </row>
    <row r="15" spans="1:28" ht="16" thickBot="1" x14ac:dyDescent="0.25">
      <c r="A15" s="10"/>
      <c r="B15" s="3"/>
      <c r="C15" s="3"/>
      <c r="D15" s="27">
        <f t="shared" si="7"/>
        <v>13</v>
      </c>
      <c r="E15" s="34">
        <f t="shared" si="8"/>
        <v>427728.26605385385</v>
      </c>
      <c r="F15" s="34">
        <f t="shared" si="0"/>
        <v>100685.59135253553</v>
      </c>
      <c r="G15" s="9">
        <f t="shared" si="1"/>
        <v>327042.67470131832</v>
      </c>
      <c r="H15" s="9">
        <f t="shared" si="2"/>
        <v>196225.60482079099</v>
      </c>
      <c r="I15" s="9">
        <v>0</v>
      </c>
      <c r="J15" s="9">
        <f t="shared" si="3"/>
        <v>296911.19617332652</v>
      </c>
      <c r="K15" s="61">
        <f t="shared" si="4"/>
        <v>130817.06988052733</v>
      </c>
      <c r="L15" s="61">
        <f t="shared" si="5"/>
        <v>1341218.2450981038</v>
      </c>
      <c r="M15" s="86">
        <f t="shared" si="6"/>
        <v>23.469154983948211</v>
      </c>
      <c r="N15" s="87">
        <f t="shared" si="9"/>
        <v>30.584153600000004</v>
      </c>
      <c r="O15" s="80">
        <f t="shared" si="10"/>
        <v>13</v>
      </c>
      <c r="P15" s="15"/>
      <c r="Q15" s="39"/>
      <c r="R15" s="15"/>
      <c r="S15" s="15"/>
      <c r="T15" s="11"/>
      <c r="Z15" s="17"/>
      <c r="AA15" s="21"/>
    </row>
    <row r="16" spans="1:28" ht="16" thickBot="1" x14ac:dyDescent="0.25">
      <c r="A16" s="25" t="s">
        <v>18</v>
      </c>
      <c r="B16" s="57">
        <f>(B13-B15)*0.3</f>
        <v>1050129.96</v>
      </c>
      <c r="C16" s="3"/>
      <c r="D16" s="27">
        <f t="shared" si="7"/>
        <v>14</v>
      </c>
      <c r="E16" s="34">
        <f t="shared" si="8"/>
        <v>440560.11403546948</v>
      </c>
      <c r="F16" s="34">
        <f t="shared" si="0"/>
        <v>103706.15909311158</v>
      </c>
      <c r="G16" s="9">
        <f t="shared" si="1"/>
        <v>336853.9549423579</v>
      </c>
      <c r="H16" s="9">
        <f t="shared" si="2"/>
        <v>202112.37296541475</v>
      </c>
      <c r="I16" s="9">
        <v>0</v>
      </c>
      <c r="J16" s="9">
        <f t="shared" si="3"/>
        <v>305818.5320585263</v>
      </c>
      <c r="K16" s="61">
        <f t="shared" si="4"/>
        <v>134741.58197694315</v>
      </c>
      <c r="L16" s="61">
        <f t="shared" si="5"/>
        <v>1475959.827075047</v>
      </c>
      <c r="M16" s="86">
        <f t="shared" si="6"/>
        <v>24.173229633466658</v>
      </c>
      <c r="N16" s="87">
        <f t="shared" si="9"/>
        <v>30.584153600000008</v>
      </c>
      <c r="O16" s="80">
        <f t="shared" si="10"/>
        <v>14</v>
      </c>
      <c r="P16" s="15"/>
      <c r="Q16" s="39"/>
      <c r="R16" s="15"/>
      <c r="S16" s="15"/>
      <c r="T16" s="11"/>
      <c r="Z16" s="17"/>
      <c r="AA16" s="22"/>
    </row>
    <row r="17" spans="1:26" ht="16" thickBot="1" x14ac:dyDescent="0.25">
      <c r="A17" s="10"/>
      <c r="B17" s="3"/>
      <c r="C17" s="3"/>
      <c r="D17" s="27">
        <f t="shared" si="7"/>
        <v>15</v>
      </c>
      <c r="E17" s="34">
        <f t="shared" si="8"/>
        <v>453776.91745653359</v>
      </c>
      <c r="F17" s="34">
        <f t="shared" si="0"/>
        <v>106817.34386590496</v>
      </c>
      <c r="G17" s="9">
        <f t="shared" si="1"/>
        <v>346959.57359062863</v>
      </c>
      <c r="H17" s="9">
        <f t="shared" si="2"/>
        <v>208175.74415437717</v>
      </c>
      <c r="I17" s="9">
        <v>0</v>
      </c>
      <c r="J17" s="9">
        <f t="shared" si="3"/>
        <v>314993.0880202821</v>
      </c>
      <c r="K17" s="61">
        <f t="shared" si="4"/>
        <v>138783.82943625146</v>
      </c>
      <c r="L17" s="62">
        <f t="shared" si="5"/>
        <v>1614743.6565112984</v>
      </c>
      <c r="M17" s="88">
        <f t="shared" si="6"/>
        <v>24.898426522470661</v>
      </c>
      <c r="N17" s="89">
        <f t="shared" si="9"/>
        <v>30.584153600000008</v>
      </c>
      <c r="O17" s="81">
        <f t="shared" si="10"/>
        <v>15</v>
      </c>
      <c r="P17" s="15"/>
      <c r="Q17" s="39"/>
      <c r="R17" s="15"/>
      <c r="S17" s="15"/>
      <c r="T17" s="11"/>
      <c r="Z17" s="17"/>
    </row>
    <row r="18" spans="1:26" ht="16" thickBot="1" x14ac:dyDescent="0.25">
      <c r="A18" s="10"/>
      <c r="B18" s="3"/>
      <c r="C18" s="3"/>
      <c r="D18" s="75">
        <f t="shared" si="7"/>
        <v>16</v>
      </c>
      <c r="E18" s="76">
        <f t="shared" si="8"/>
        <v>467390.22498022963</v>
      </c>
      <c r="F18" s="76">
        <f t="shared" si="0"/>
        <v>110021.86418188212</v>
      </c>
      <c r="G18" s="77">
        <f t="shared" si="1"/>
        <v>357368.36079834751</v>
      </c>
      <c r="H18" s="77">
        <f t="shared" si="2"/>
        <v>214421.01647900851</v>
      </c>
      <c r="I18" s="77">
        <v>0</v>
      </c>
      <c r="J18" s="77">
        <f t="shared" si="3"/>
        <v>324442.8806608906</v>
      </c>
      <c r="K18" s="78">
        <f t="shared" si="4"/>
        <v>142947.344319339</v>
      </c>
      <c r="L18" s="70">
        <f t="shared" ref="L18" si="11">K18+L17</f>
        <v>1757691.0008306373</v>
      </c>
      <c r="M18" s="90">
        <f t="shared" si="6"/>
        <v>25.64537931814478</v>
      </c>
      <c r="N18" s="91">
        <f t="shared" si="9"/>
        <v>30.584153600000008</v>
      </c>
      <c r="O18" s="82">
        <f t="shared" si="10"/>
        <v>16</v>
      </c>
      <c r="P18" s="15"/>
      <c r="Q18" s="39"/>
      <c r="R18" s="15"/>
      <c r="S18" s="15"/>
      <c r="T18" s="11"/>
      <c r="Z18" s="17"/>
    </row>
    <row r="19" spans="1:26" ht="16" thickBot="1" x14ac:dyDescent="0.25">
      <c r="A19" s="25" t="s">
        <v>7</v>
      </c>
      <c r="B19" s="59">
        <v>1</v>
      </c>
      <c r="C19" s="3"/>
      <c r="D19" s="27">
        <f t="shared" si="7"/>
        <v>17</v>
      </c>
      <c r="E19" s="34">
        <f t="shared" si="8"/>
        <v>481411.9317296365</v>
      </c>
      <c r="F19" s="34">
        <f t="shared" si="0"/>
        <v>113322.52010733855</v>
      </c>
      <c r="G19" s="9">
        <f t="shared" si="1"/>
        <v>368089.41162229795</v>
      </c>
      <c r="H19" s="9">
        <v>0</v>
      </c>
      <c r="I19" s="9">
        <f>G19*0.07</f>
        <v>25766.25881356086</v>
      </c>
      <c r="J19" s="9">
        <f t="shared" si="3"/>
        <v>113322.52010733855</v>
      </c>
      <c r="K19" s="63">
        <f t="shared" si="4"/>
        <v>368089.41162229795</v>
      </c>
      <c r="L19" s="69">
        <f>K19+L18-I19</f>
        <v>2100014.1536393743</v>
      </c>
      <c r="M19" s="92">
        <f t="shared" si="6"/>
        <v>66.036851744222815</v>
      </c>
      <c r="N19" s="93">
        <f t="shared" si="9"/>
        <v>76.460384000000005</v>
      </c>
      <c r="O19" s="83">
        <f t="shared" si="10"/>
        <v>17</v>
      </c>
      <c r="P19" s="15"/>
      <c r="Q19" s="39"/>
      <c r="R19" s="15"/>
      <c r="S19" s="15"/>
      <c r="T19" s="11"/>
      <c r="Z19" s="17"/>
    </row>
    <row r="20" spans="1:26" ht="16" thickBot="1" x14ac:dyDescent="0.25">
      <c r="A20" s="50" t="s">
        <v>17</v>
      </c>
      <c r="B20" s="100">
        <v>0.6</v>
      </c>
      <c r="C20" s="3"/>
      <c r="D20" s="27">
        <f t="shared" si="7"/>
        <v>18</v>
      </c>
      <c r="E20" s="34">
        <f t="shared" si="8"/>
        <v>495854.28968152561</v>
      </c>
      <c r="F20" s="34">
        <f t="shared" si="0"/>
        <v>116722.19571055874</v>
      </c>
      <c r="G20" s="9">
        <f t="shared" si="1"/>
        <v>379132.09397096687</v>
      </c>
      <c r="H20" s="9">
        <v>0</v>
      </c>
      <c r="I20" s="9">
        <f t="shared" ref="I20:I32" si="12">G20*0.07</f>
        <v>26539.246577967682</v>
      </c>
      <c r="J20" s="9">
        <f t="shared" si="3"/>
        <v>116722.19571055874</v>
      </c>
      <c r="K20" s="63">
        <f t="shared" si="4"/>
        <v>379132.09397096687</v>
      </c>
      <c r="L20" s="69">
        <f t="shared" ref="L20:L32" si="13">K20+L19-I20</f>
        <v>2452607.0010323734</v>
      </c>
      <c r="M20" s="92">
        <f t="shared" si="6"/>
        <v>68.017957296549497</v>
      </c>
      <c r="N20" s="87">
        <f t="shared" si="9"/>
        <v>76.460384000000005</v>
      </c>
      <c r="O20" s="83">
        <f t="shared" si="10"/>
        <v>18</v>
      </c>
      <c r="P20" s="15"/>
      <c r="Q20" s="39"/>
      <c r="R20" s="15"/>
      <c r="S20" s="15"/>
      <c r="T20" s="11"/>
      <c r="Z20" s="17"/>
    </row>
    <row r="21" spans="1:26" ht="16" thickBot="1" x14ac:dyDescent="0.25">
      <c r="A21" s="25" t="s">
        <v>30</v>
      </c>
      <c r="B21" s="85" t="s">
        <v>31</v>
      </c>
      <c r="C21" s="6"/>
      <c r="D21" s="27">
        <f t="shared" si="7"/>
        <v>19</v>
      </c>
      <c r="E21" s="34">
        <f t="shared" si="8"/>
        <v>510729.91837197141</v>
      </c>
      <c r="F21" s="34">
        <f t="shared" si="0"/>
        <v>120223.86158187554</v>
      </c>
      <c r="G21" s="9">
        <f t="shared" si="1"/>
        <v>390506.05679009587</v>
      </c>
      <c r="H21" s="9">
        <v>0</v>
      </c>
      <c r="I21" s="9">
        <f t="shared" si="12"/>
        <v>27335.423975306712</v>
      </c>
      <c r="J21" s="9">
        <f t="shared" si="3"/>
        <v>120223.86158187554</v>
      </c>
      <c r="K21" s="64">
        <f t="shared" si="4"/>
        <v>390506.05679009587</v>
      </c>
      <c r="L21" s="69">
        <f t="shared" si="13"/>
        <v>2815777.6338471626</v>
      </c>
      <c r="M21" s="86">
        <f t="shared" si="6"/>
        <v>70.058496015445982</v>
      </c>
      <c r="N21" s="87">
        <f t="shared" si="9"/>
        <v>76.460383999999991</v>
      </c>
      <c r="O21" s="80">
        <f t="shared" si="10"/>
        <v>19</v>
      </c>
      <c r="P21" s="15"/>
      <c r="Q21" s="39"/>
      <c r="R21" s="2"/>
      <c r="S21" s="2"/>
      <c r="T21" s="11"/>
    </row>
    <row r="22" spans="1:26" x14ac:dyDescent="0.2">
      <c r="A22" s="10"/>
      <c r="B22" s="3"/>
      <c r="C22" s="6"/>
      <c r="D22" s="27">
        <f t="shared" si="7"/>
        <v>20</v>
      </c>
      <c r="E22" s="34">
        <f t="shared" si="8"/>
        <v>526051.81592313061</v>
      </c>
      <c r="F22" s="34">
        <f t="shared" si="0"/>
        <v>123830.57742933184</v>
      </c>
      <c r="G22" s="9">
        <f t="shared" si="1"/>
        <v>402221.23849379877</v>
      </c>
      <c r="H22" s="9">
        <v>0</v>
      </c>
      <c r="I22" s="9">
        <f t="shared" si="12"/>
        <v>28155.486694565916</v>
      </c>
      <c r="J22" s="9">
        <f t="shared" si="3"/>
        <v>123830.57742933184</v>
      </c>
      <c r="K22" s="64">
        <f t="shared" si="4"/>
        <v>402221.23849379877</v>
      </c>
      <c r="L22" s="69">
        <f t="shared" si="13"/>
        <v>3189843.3856463954</v>
      </c>
      <c r="M22" s="86">
        <f t="shared" si="6"/>
        <v>72.160250895909357</v>
      </c>
      <c r="N22" s="87">
        <f t="shared" si="9"/>
        <v>76.460383999999991</v>
      </c>
      <c r="O22" s="80">
        <f t="shared" si="10"/>
        <v>20</v>
      </c>
      <c r="P22" s="15"/>
      <c r="Q22" s="39"/>
      <c r="R22" s="2"/>
      <c r="S22" s="2"/>
      <c r="T22" s="11"/>
    </row>
    <row r="23" spans="1:26" ht="16" thickBot="1" x14ac:dyDescent="0.25">
      <c r="A23" s="32" t="s">
        <v>12</v>
      </c>
      <c r="C23" s="3"/>
      <c r="D23" s="27">
        <f t="shared" si="7"/>
        <v>21</v>
      </c>
      <c r="E23" s="34">
        <f t="shared" si="8"/>
        <v>541833.37040082458</v>
      </c>
      <c r="F23" s="34">
        <f t="shared" si="0"/>
        <v>127545.49475221185</v>
      </c>
      <c r="G23" s="9">
        <f t="shared" si="1"/>
        <v>414287.87564861274</v>
      </c>
      <c r="H23" s="9">
        <v>0</v>
      </c>
      <c r="I23" s="9">
        <f t="shared" si="12"/>
        <v>29000.151295402895</v>
      </c>
      <c r="J23" s="9">
        <f t="shared" si="3"/>
        <v>127545.49475221185</v>
      </c>
      <c r="K23" s="64">
        <f t="shared" si="4"/>
        <v>414287.87564861274</v>
      </c>
      <c r="L23" s="69">
        <f t="shared" si="13"/>
        <v>3575131.109999605</v>
      </c>
      <c r="M23" s="86">
        <f t="shared" si="6"/>
        <v>74.32505842278664</v>
      </c>
      <c r="N23" s="87">
        <f t="shared" si="9"/>
        <v>76.460383999999976</v>
      </c>
      <c r="O23" s="80">
        <f t="shared" si="10"/>
        <v>21</v>
      </c>
      <c r="P23" s="15"/>
      <c r="Q23" s="39"/>
      <c r="R23" s="2"/>
      <c r="S23" s="2"/>
      <c r="T23" s="11"/>
    </row>
    <row r="24" spans="1:26" ht="17" thickBot="1" x14ac:dyDescent="0.25">
      <c r="A24" s="51" t="s">
        <v>8</v>
      </c>
      <c r="B24" s="58">
        <v>0.03</v>
      </c>
      <c r="C24" s="7"/>
      <c r="D24" s="27">
        <f t="shared" si="7"/>
        <v>22</v>
      </c>
      <c r="E24" s="34">
        <f t="shared" si="8"/>
        <v>558088.37151284935</v>
      </c>
      <c r="F24" s="34">
        <f t="shared" si="0"/>
        <v>131371.85959477822</v>
      </c>
      <c r="G24" s="9">
        <f t="shared" si="1"/>
        <v>426716.51191807113</v>
      </c>
      <c r="H24" s="9">
        <v>0</v>
      </c>
      <c r="I24" s="9">
        <f t="shared" si="12"/>
        <v>29870.155834264981</v>
      </c>
      <c r="J24" s="9">
        <f t="shared" si="3"/>
        <v>131371.85959477822</v>
      </c>
      <c r="K24" s="64">
        <f t="shared" si="4"/>
        <v>426716.51191807113</v>
      </c>
      <c r="L24" s="69">
        <f t="shared" si="13"/>
        <v>3971977.4660834111</v>
      </c>
      <c r="M24" s="86">
        <f t="shared" si="6"/>
        <v>76.554810175470237</v>
      </c>
      <c r="N24" s="87">
        <f t="shared" si="9"/>
        <v>76.460383999999976</v>
      </c>
      <c r="O24" s="80">
        <f t="shared" si="10"/>
        <v>22</v>
      </c>
      <c r="P24" s="15"/>
      <c r="Q24" s="39"/>
      <c r="R24" s="2"/>
      <c r="S24" s="2"/>
      <c r="T24" s="11"/>
    </row>
    <row r="25" spans="1:26" ht="16" thickBot="1" x14ac:dyDescent="0.25">
      <c r="A25" s="25" t="s">
        <v>13</v>
      </c>
      <c r="B25" s="60">
        <v>2.0000000000000001E-4</v>
      </c>
      <c r="D25" s="27">
        <f t="shared" si="7"/>
        <v>23</v>
      </c>
      <c r="E25" s="34">
        <f t="shared" si="8"/>
        <v>574831.02265823481</v>
      </c>
      <c r="F25" s="34">
        <f t="shared" si="0"/>
        <v>135313.01538262155</v>
      </c>
      <c r="G25" s="9">
        <f t="shared" si="1"/>
        <v>439518.00727561326</v>
      </c>
      <c r="H25" s="9">
        <v>0</v>
      </c>
      <c r="I25" s="9">
        <f t="shared" si="12"/>
        <v>30766.26050929293</v>
      </c>
      <c r="J25" s="9">
        <f t="shared" si="3"/>
        <v>135313.01538262155</v>
      </c>
      <c r="K25" s="64">
        <f t="shared" si="4"/>
        <v>439518.00727561326</v>
      </c>
      <c r="L25" s="69">
        <f t="shared" si="13"/>
        <v>4380729.2128497316</v>
      </c>
      <c r="M25" s="86">
        <f t="shared" si="6"/>
        <v>78.851454480734347</v>
      </c>
      <c r="N25" s="87">
        <f t="shared" si="9"/>
        <v>76.460383999999976</v>
      </c>
      <c r="O25" s="80">
        <f t="shared" si="10"/>
        <v>23</v>
      </c>
      <c r="P25" s="15"/>
      <c r="Q25" s="39"/>
      <c r="R25" s="2"/>
      <c r="S25" s="2"/>
      <c r="T25" s="11"/>
    </row>
    <row r="26" spans="1:26" x14ac:dyDescent="0.2">
      <c r="D26" s="27">
        <f t="shared" si="7"/>
        <v>24</v>
      </c>
      <c r="E26" s="34">
        <f t="shared" si="8"/>
        <v>592075.95333798183</v>
      </c>
      <c r="F26" s="34">
        <f t="shared" si="0"/>
        <v>139372.40584410017</v>
      </c>
      <c r="G26" s="9">
        <f t="shared" si="1"/>
        <v>452703.54749388166</v>
      </c>
      <c r="H26" s="9">
        <v>0</v>
      </c>
      <c r="I26" s="9">
        <f t="shared" si="12"/>
        <v>31689.248324571719</v>
      </c>
      <c r="J26" s="9">
        <f t="shared" si="3"/>
        <v>139372.40584410017</v>
      </c>
      <c r="K26" s="64">
        <f t="shared" si="4"/>
        <v>452703.54749388166</v>
      </c>
      <c r="L26" s="69">
        <f t="shared" si="13"/>
        <v>4801743.512019041</v>
      </c>
      <c r="M26" s="86">
        <f t="shared" si="6"/>
        <v>81.216998115156386</v>
      </c>
      <c r="N26" s="87">
        <f t="shared" si="9"/>
        <v>76.460383999999991</v>
      </c>
      <c r="O26" s="80">
        <f t="shared" si="10"/>
        <v>24</v>
      </c>
      <c r="P26" s="15"/>
      <c r="Q26" s="39"/>
      <c r="R26" s="2"/>
      <c r="S26" s="2"/>
      <c r="T26" s="11"/>
    </row>
    <row r="27" spans="1:26" x14ac:dyDescent="0.2">
      <c r="D27" s="27">
        <f t="shared" si="7"/>
        <v>25</v>
      </c>
      <c r="E27" s="34">
        <f t="shared" si="8"/>
        <v>609838.23193812126</v>
      </c>
      <c r="F27" s="34">
        <f t="shared" si="0"/>
        <v>143553.57801942312</v>
      </c>
      <c r="G27" s="9">
        <f t="shared" si="1"/>
        <v>466284.65391869814</v>
      </c>
      <c r="H27" s="9">
        <v>0</v>
      </c>
      <c r="I27" s="9">
        <f t="shared" si="12"/>
        <v>32639.925774308871</v>
      </c>
      <c r="J27" s="9">
        <f t="shared" si="3"/>
        <v>143553.57801942312</v>
      </c>
      <c r="K27" s="64">
        <f t="shared" si="4"/>
        <v>466284.65391869814</v>
      </c>
      <c r="L27" s="69">
        <f t="shared" si="13"/>
        <v>5235388.2401634306</v>
      </c>
      <c r="M27" s="86">
        <f t="shared" si="6"/>
        <v>83.653508058611081</v>
      </c>
      <c r="N27" s="87">
        <f t="shared" si="9"/>
        <v>76.460383999999991</v>
      </c>
      <c r="O27" s="80">
        <f t="shared" si="10"/>
        <v>25</v>
      </c>
      <c r="P27" s="15"/>
      <c r="Q27" s="39"/>
      <c r="R27" s="2"/>
      <c r="S27" s="2"/>
      <c r="T27" s="11"/>
    </row>
    <row r="28" spans="1:26" x14ac:dyDescent="0.2">
      <c r="D28" s="27">
        <f t="shared" si="7"/>
        <v>26</v>
      </c>
      <c r="E28" s="34">
        <f t="shared" si="8"/>
        <v>628133.37889626494</v>
      </c>
      <c r="F28" s="34">
        <f t="shared" si="0"/>
        <v>147860.18536000582</v>
      </c>
      <c r="G28" s="9">
        <f t="shared" si="1"/>
        <v>480273.19353625912</v>
      </c>
      <c r="H28" s="9">
        <v>0</v>
      </c>
      <c r="I28" s="9">
        <f t="shared" si="12"/>
        <v>33619.12354753814</v>
      </c>
      <c r="J28" s="9">
        <f t="shared" si="3"/>
        <v>147860.18536000582</v>
      </c>
      <c r="K28" s="64">
        <f t="shared" si="4"/>
        <v>480273.19353625912</v>
      </c>
      <c r="L28" s="69">
        <f t="shared" si="13"/>
        <v>5682042.3101521516</v>
      </c>
      <c r="M28" s="86">
        <f t="shared" si="6"/>
        <v>86.163113300369417</v>
      </c>
      <c r="N28" s="87">
        <f t="shared" si="9"/>
        <v>76.460383999999991</v>
      </c>
      <c r="O28" s="80">
        <f t="shared" si="10"/>
        <v>26</v>
      </c>
      <c r="P28" s="15"/>
      <c r="Q28" s="39"/>
      <c r="R28" s="2"/>
      <c r="S28" s="2"/>
      <c r="T28" s="11"/>
    </row>
    <row r="29" spans="1:26" x14ac:dyDescent="0.2">
      <c r="D29" s="27">
        <f t="shared" si="7"/>
        <v>27</v>
      </c>
      <c r="E29" s="34">
        <f t="shared" si="8"/>
        <v>646977.38026315288</v>
      </c>
      <c r="F29" s="34">
        <f t="shared" si="0"/>
        <v>152295.99092080595</v>
      </c>
      <c r="G29" s="9">
        <f t="shared" si="1"/>
        <v>494681.38934234693</v>
      </c>
      <c r="H29" s="9">
        <v>0</v>
      </c>
      <c r="I29" s="9">
        <f t="shared" si="12"/>
        <v>34627.697253964288</v>
      </c>
      <c r="J29" s="9">
        <f t="shared" si="3"/>
        <v>152295.99092080595</v>
      </c>
      <c r="K29" s="64">
        <f t="shared" si="4"/>
        <v>494681.38934234693</v>
      </c>
      <c r="L29" s="69">
        <f t="shared" si="13"/>
        <v>6142096.0022405349</v>
      </c>
      <c r="M29" s="86">
        <f t="shared" si="6"/>
        <v>88.748006699380497</v>
      </c>
      <c r="N29" s="87">
        <f t="shared" si="9"/>
        <v>76.460384000000005</v>
      </c>
      <c r="O29" s="80">
        <f t="shared" si="10"/>
        <v>27</v>
      </c>
      <c r="P29" s="15"/>
      <c r="Q29" s="39"/>
      <c r="R29" s="2"/>
      <c r="S29" s="2"/>
      <c r="T29" s="11"/>
    </row>
    <row r="30" spans="1:26" x14ac:dyDescent="0.2">
      <c r="D30" s="27">
        <f t="shared" si="7"/>
        <v>28</v>
      </c>
      <c r="E30" s="34">
        <f t="shared" si="8"/>
        <v>666386.70167104749</v>
      </c>
      <c r="F30" s="34">
        <f t="shared" si="0"/>
        <v>156864.87064843014</v>
      </c>
      <c r="G30" s="9">
        <f t="shared" si="1"/>
        <v>509521.83102261735</v>
      </c>
      <c r="H30" s="9">
        <v>0</v>
      </c>
      <c r="I30" s="9">
        <f t="shared" si="12"/>
        <v>35666.528171583217</v>
      </c>
      <c r="J30" s="9">
        <f t="shared" si="3"/>
        <v>156864.87064843014</v>
      </c>
      <c r="K30" s="64">
        <f t="shared" si="4"/>
        <v>509521.83102261735</v>
      </c>
      <c r="L30" s="69">
        <f t="shared" si="13"/>
        <v>6615951.3050915692</v>
      </c>
      <c r="M30" s="86">
        <f t="shared" si="6"/>
        <v>91.410446900361919</v>
      </c>
      <c r="N30" s="87">
        <f t="shared" si="9"/>
        <v>76.460384000000005</v>
      </c>
      <c r="O30" s="80">
        <f t="shared" si="10"/>
        <v>28</v>
      </c>
      <c r="P30" s="15"/>
      <c r="Q30" s="39"/>
      <c r="R30" s="2"/>
      <c r="S30" s="2"/>
      <c r="T30" s="11"/>
    </row>
    <row r="31" spans="1:26" ht="16" thickBot="1" x14ac:dyDescent="0.25">
      <c r="D31" s="27">
        <f t="shared" si="7"/>
        <v>29</v>
      </c>
      <c r="E31" s="34">
        <f t="shared" si="8"/>
        <v>686378.30272117897</v>
      </c>
      <c r="F31" s="34">
        <f t="shared" si="0"/>
        <v>161570.81676788314</v>
      </c>
      <c r="G31" s="9">
        <f t="shared" si="1"/>
        <v>524807.48595329584</v>
      </c>
      <c r="H31" s="9">
        <v>0</v>
      </c>
      <c r="I31" s="9">
        <f t="shared" si="12"/>
        <v>36736.524016730713</v>
      </c>
      <c r="J31" s="9">
        <f t="shared" si="3"/>
        <v>161570.81676788314</v>
      </c>
      <c r="K31" s="65">
        <f t="shared" si="4"/>
        <v>524807.48595329584</v>
      </c>
      <c r="L31" s="69">
        <f t="shared" si="13"/>
        <v>7104022.2670281343</v>
      </c>
      <c r="M31" s="94">
        <f t="shared" si="6"/>
        <v>94.152760307372773</v>
      </c>
      <c r="N31" s="87">
        <f t="shared" si="9"/>
        <v>76.460383999999991</v>
      </c>
      <c r="O31" s="80">
        <f t="shared" si="10"/>
        <v>29</v>
      </c>
      <c r="P31" s="15"/>
      <c r="Q31" s="39"/>
      <c r="R31" s="2"/>
      <c r="S31" s="2"/>
      <c r="T31" s="11"/>
    </row>
    <row r="32" spans="1:26" ht="16" thickBot="1" x14ac:dyDescent="0.25">
      <c r="A32" s="46" t="s">
        <v>19</v>
      </c>
      <c r="B32" s="71">
        <f>L18</f>
        <v>1757691.0008306373</v>
      </c>
      <c r="C32" s="72"/>
      <c r="D32" s="27">
        <v>30</v>
      </c>
      <c r="E32" s="34">
        <f t="shared" si="8"/>
        <v>706969.65180281433</v>
      </c>
      <c r="F32" s="34">
        <f t="shared" si="0"/>
        <v>166417.94127091963</v>
      </c>
      <c r="G32" s="9">
        <f t="shared" si="1"/>
        <v>540551.7105318947</v>
      </c>
      <c r="H32" s="9">
        <v>0</v>
      </c>
      <c r="I32" s="9">
        <f t="shared" si="12"/>
        <v>37838.619737232635</v>
      </c>
      <c r="J32" s="9">
        <f t="shared" si="3"/>
        <v>166417.94127091963</v>
      </c>
      <c r="K32" s="66">
        <f t="shared" si="4"/>
        <v>540551.7105318947</v>
      </c>
      <c r="L32" s="69">
        <f t="shared" si="13"/>
        <v>7606735.3578227963</v>
      </c>
      <c r="M32" s="95">
        <f t="shared" ref="M32" si="14">K32/$B$3</f>
        <v>96.977343116593957</v>
      </c>
      <c r="N32" s="87">
        <f t="shared" si="9"/>
        <v>76.460383999999991</v>
      </c>
      <c r="O32" s="81">
        <v>30</v>
      </c>
      <c r="P32" s="40"/>
      <c r="Q32" s="41"/>
      <c r="R32" s="2"/>
      <c r="S32" s="2"/>
      <c r="T32" s="11"/>
    </row>
    <row r="33" spans="1:19" ht="16" thickBot="1" x14ac:dyDescent="0.25">
      <c r="A33" s="47" t="s">
        <v>10</v>
      </c>
      <c r="B33" s="48"/>
      <c r="C33" s="49"/>
      <c r="D33" s="42"/>
      <c r="E33" s="42"/>
      <c r="F33" s="42"/>
      <c r="G33" s="43"/>
      <c r="H33" s="44"/>
      <c r="I33" s="44"/>
      <c r="J33" s="44"/>
      <c r="K33" s="43"/>
      <c r="L33" s="67">
        <f>L32</f>
        <v>7606735.3578227963</v>
      </c>
      <c r="M33" s="44"/>
      <c r="N33" s="44"/>
      <c r="O33" s="79"/>
      <c r="P33" s="40"/>
      <c r="Q33" s="41"/>
      <c r="R33" s="2"/>
      <c r="S33" s="2"/>
    </row>
    <row r="35" spans="1:19" ht="17" customHeight="1" x14ac:dyDescent="0.2">
      <c r="O35" s="12"/>
      <c r="P35" s="12"/>
      <c r="Q35" s="12"/>
      <c r="R35" s="12"/>
      <c r="S35" s="12"/>
    </row>
  </sheetData>
  <mergeCells count="1">
    <mergeCell ref="D1:Q1"/>
  </mergeCells>
  <pageMargins left="0.7" right="0.7" top="0.75" bottom="0.75" header="0.3" footer="0.3"/>
  <pageSetup scale="87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Brasswater 3235 Guenette </vt:lpstr>
      <vt:lpstr>'Brasswater 3235 Guenette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Suneet Tuli</dc:creator>
  <cp:lastModifiedBy>mark segall</cp:lastModifiedBy>
  <cp:lastPrinted>2025-10-08T02:13:29Z</cp:lastPrinted>
  <dcterms:created xsi:type="dcterms:W3CDTF">2025-08-18T14:55:50Z</dcterms:created>
  <dcterms:modified xsi:type="dcterms:W3CDTF">2025-12-22T23:16:18Z</dcterms:modified>
</cp:coreProperties>
</file>