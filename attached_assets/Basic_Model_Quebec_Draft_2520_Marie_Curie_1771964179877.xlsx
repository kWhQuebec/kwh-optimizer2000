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lcab.sharepoint.com/sites/kwhquebec/Shared Documents/Dream/MOdel/"/>
    </mc:Choice>
  </mc:AlternateContent>
  <xr:revisionPtr revIDLastSave="30" documentId="13_ncr:1_{657F6D5B-6B68-46E7-B204-DD8CBF8D43F8}" xr6:coauthVersionLast="47" xr6:coauthVersionMax="47" xr10:uidLastSave="{93C8873F-40A6-4D81-99E6-E96B64E64122}"/>
  <bookViews>
    <workbookView xWindow="28680" yWindow="-120" windowWidth="29040" windowHeight="15840" xr2:uid="{00000000-000D-0000-FFFF-FFFF00000000}"/>
  </bookViews>
  <sheets>
    <sheet name="Assumptions " sheetId="6" r:id="rId1"/>
    <sheet name="CashFlow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7" l="1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D4" i="7"/>
  <c r="C6" i="6"/>
  <c r="C8" i="6"/>
  <c r="X18" i="7"/>
  <c r="X19" i="7" s="1"/>
  <c r="Y18" i="7"/>
  <c r="Y19" i="7" s="1"/>
  <c r="Z18" i="7"/>
  <c r="Z19" i="7" s="1"/>
  <c r="AA18" i="7"/>
  <c r="AA19" i="7" s="1"/>
  <c r="AB18" i="7"/>
  <c r="AB19" i="7" s="1"/>
  <c r="AC18" i="7"/>
  <c r="AC19" i="7" s="1"/>
  <c r="AD18" i="7"/>
  <c r="AD19" i="7" s="1"/>
  <c r="AE18" i="7"/>
  <c r="AE19" i="7" s="1"/>
  <c r="AF18" i="7"/>
  <c r="AF19" i="7" s="1"/>
  <c r="AG18" i="7"/>
  <c r="AG19" i="7" s="1"/>
  <c r="X17" i="7"/>
  <c r="Y17" i="7"/>
  <c r="Z17" i="7"/>
  <c r="AA17" i="7"/>
  <c r="AB17" i="7"/>
  <c r="AC17" i="7"/>
  <c r="AD17" i="7"/>
  <c r="AE17" i="7"/>
  <c r="AF17" i="7"/>
  <c r="AG17" i="7"/>
  <c r="D8" i="7" l="1"/>
  <c r="E7" i="7"/>
  <c r="F7" i="7" s="1"/>
  <c r="G7" i="7" s="1"/>
  <c r="H7" i="7" s="1"/>
  <c r="I7" i="7" s="1"/>
  <c r="J7" i="7" s="1"/>
  <c r="K7" i="7" s="1"/>
  <c r="L7" i="7" s="1"/>
  <c r="M7" i="7" s="1"/>
  <c r="N7" i="7" s="1"/>
  <c r="O7" i="7" s="1"/>
  <c r="C17" i="6"/>
  <c r="K20" i="6" s="1"/>
  <c r="K22" i="6" s="1"/>
  <c r="AB21" i="7"/>
  <c r="AC21" i="7"/>
  <c r="AD21" i="7"/>
  <c r="AE21" i="7"/>
  <c r="AF21" i="7"/>
  <c r="AG21" i="7"/>
  <c r="AC4" i="7"/>
  <c r="AC8" i="7" s="1"/>
  <c r="AC11" i="7" s="1"/>
  <c r="AD4" i="7"/>
  <c r="AD8" i="7" s="1"/>
  <c r="AD11" i="7" s="1"/>
  <c r="AE4" i="7"/>
  <c r="AE8" i="7" s="1"/>
  <c r="AE11" i="7" s="1"/>
  <c r="AF4" i="7"/>
  <c r="AF8" i="7" s="1"/>
  <c r="AF11" i="7" s="1"/>
  <c r="AG4" i="7"/>
  <c r="AG8" i="7" s="1"/>
  <c r="AG11" i="7" s="1"/>
  <c r="J8" i="7" l="1"/>
  <c r="J11" i="7" s="1"/>
  <c r="K8" i="7"/>
  <c r="K11" i="7" s="1"/>
  <c r="M8" i="7"/>
  <c r="G8" i="7"/>
  <c r="G11" i="7" s="1"/>
  <c r="L8" i="7"/>
  <c r="L11" i="7" s="1"/>
  <c r="N8" i="7"/>
  <c r="N11" i="7" s="1"/>
  <c r="E8" i="7"/>
  <c r="E11" i="7" s="1"/>
  <c r="H8" i="7"/>
  <c r="F8" i="7"/>
  <c r="F11" i="7" s="1"/>
  <c r="I8" i="7"/>
  <c r="P7" i="7"/>
  <c r="O8" i="7"/>
  <c r="O11" i="7" s="1"/>
  <c r="K24" i="6"/>
  <c r="K25" i="6" s="1"/>
  <c r="C8" i="7" s="1"/>
  <c r="C11" i="7" s="1"/>
  <c r="C15" i="7" s="1"/>
  <c r="I11" i="7"/>
  <c r="H11" i="7"/>
  <c r="G22" i="6"/>
  <c r="D11" i="7"/>
  <c r="G30" i="6"/>
  <c r="M11" i="7"/>
  <c r="G20" i="6"/>
  <c r="C21" i="6"/>
  <c r="K6" i="6" s="1"/>
  <c r="Y21" i="7"/>
  <c r="R21" i="7"/>
  <c r="X21" i="7"/>
  <c r="V21" i="7"/>
  <c r="U21" i="7"/>
  <c r="W21" i="7"/>
  <c r="T21" i="7"/>
  <c r="S21" i="7"/>
  <c r="Q21" i="7"/>
  <c r="P21" i="7"/>
  <c r="AA21" i="7"/>
  <c r="Z21" i="7"/>
  <c r="N21" i="7" l="1"/>
  <c r="O21" i="7"/>
  <c r="Q7" i="7"/>
  <c r="P8" i="7"/>
  <c r="P11" i="7" s="1"/>
  <c r="J17" i="7"/>
  <c r="K17" i="7"/>
  <c r="L17" i="7"/>
  <c r="M17" i="7"/>
  <c r="N17" i="7"/>
  <c r="O17" i="7"/>
  <c r="P17" i="7"/>
  <c r="Q17" i="7"/>
  <c r="R17" i="7"/>
  <c r="D17" i="7"/>
  <c r="S17" i="7"/>
  <c r="T17" i="7"/>
  <c r="E17" i="7"/>
  <c r="U17" i="7"/>
  <c r="F17" i="7"/>
  <c r="V17" i="7"/>
  <c r="W17" i="7"/>
  <c r="I17" i="7"/>
  <c r="G17" i="7"/>
  <c r="H17" i="7"/>
  <c r="H21" i="7"/>
  <c r="F21" i="7"/>
  <c r="G21" i="7"/>
  <c r="J21" i="7"/>
  <c r="D21" i="7"/>
  <c r="D23" i="7" s="1"/>
  <c r="K21" i="7"/>
  <c r="L21" i="7"/>
  <c r="E21" i="7"/>
  <c r="M21" i="7"/>
  <c r="I21" i="7"/>
  <c r="G23" i="6"/>
  <c r="D13" i="7" s="1"/>
  <c r="E13" i="7" s="1"/>
  <c r="F13" i="7" s="1"/>
  <c r="G13" i="7" s="1"/>
  <c r="H13" i="7" s="1"/>
  <c r="I13" i="7" s="1"/>
  <c r="J13" i="7" s="1"/>
  <c r="K13" i="7" s="1"/>
  <c r="L13" i="7" s="1"/>
  <c r="M13" i="7" s="1"/>
  <c r="N13" i="7" s="1"/>
  <c r="O13" i="7" s="1"/>
  <c r="R7" i="7" l="1"/>
  <c r="Q8" i="7"/>
  <c r="Q11" i="7" s="1"/>
  <c r="E23" i="7"/>
  <c r="F23" i="7" s="1"/>
  <c r="G23" i="7" s="1"/>
  <c r="H23" i="7" s="1"/>
  <c r="I23" i="7" s="1"/>
  <c r="J23" i="7" s="1"/>
  <c r="K23" i="7" s="1"/>
  <c r="L23" i="7" s="1"/>
  <c r="M23" i="7" s="1"/>
  <c r="N23" i="7" s="1"/>
  <c r="O23" i="7" s="1"/>
  <c r="P23" i="7" s="1"/>
  <c r="Q23" i="7" s="1"/>
  <c r="R23" i="7" s="1"/>
  <c r="S23" i="7" s="1"/>
  <c r="T23" i="7" s="1"/>
  <c r="U23" i="7" s="1"/>
  <c r="V23" i="7" s="1"/>
  <c r="W23" i="7" s="1"/>
  <c r="X23" i="7" s="1"/>
  <c r="Y23" i="7" s="1"/>
  <c r="Z23" i="7" s="1"/>
  <c r="AA23" i="7" s="1"/>
  <c r="AB23" i="7" s="1"/>
  <c r="AC23" i="7" s="1"/>
  <c r="AD23" i="7" s="1"/>
  <c r="AE23" i="7" s="1"/>
  <c r="AF23" i="7" s="1"/>
  <c r="AG23" i="7" s="1"/>
  <c r="D15" i="7"/>
  <c r="B17" i="7"/>
  <c r="N15" i="7"/>
  <c r="N18" i="7" s="1"/>
  <c r="N19" i="7" s="1"/>
  <c r="G15" i="7"/>
  <c r="H15" i="7"/>
  <c r="M15" i="7"/>
  <c r="M18" i="7" s="1"/>
  <c r="M19" i="7" s="1"/>
  <c r="L15" i="7"/>
  <c r="F15" i="7"/>
  <c r="F18" i="7" s="1"/>
  <c r="F19" i="7" s="1"/>
  <c r="K15" i="7"/>
  <c r="K18" i="7" s="1"/>
  <c r="K19" i="7" s="1"/>
  <c r="I15" i="7"/>
  <c r="I18" i="7" s="1"/>
  <c r="I19" i="7" s="1"/>
  <c r="J15" i="7"/>
  <c r="J18" i="7" s="1"/>
  <c r="J19" i="7" s="1"/>
  <c r="E15" i="7"/>
  <c r="E18" i="7" s="1"/>
  <c r="E19" i="7" s="1"/>
  <c r="P13" i="7"/>
  <c r="O15" i="7"/>
  <c r="O18" i="7" s="1"/>
  <c r="O19" i="7" s="1"/>
  <c r="S7" i="7" l="1"/>
  <c r="R8" i="7"/>
  <c r="R11" i="7" s="1"/>
  <c r="L25" i="7"/>
  <c r="L18" i="7"/>
  <c r="L19" i="7" s="1"/>
  <c r="H25" i="7"/>
  <c r="H18" i="7"/>
  <c r="H19" i="7" s="1"/>
  <c r="G25" i="7"/>
  <c r="G18" i="7"/>
  <c r="G19" i="7" s="1"/>
  <c r="D25" i="7"/>
  <c r="D18" i="7"/>
  <c r="D19" i="7" s="1"/>
  <c r="N25" i="7"/>
  <c r="M25" i="7"/>
  <c r="J25" i="7"/>
  <c r="K25" i="7"/>
  <c r="F25" i="7"/>
  <c r="I25" i="7"/>
  <c r="E25" i="7"/>
  <c r="O25" i="7"/>
  <c r="Q13" i="7"/>
  <c r="P15" i="7"/>
  <c r="P18" i="7" s="1"/>
  <c r="P19" i="7" s="1"/>
  <c r="T7" i="7" l="1"/>
  <c r="S8" i="7"/>
  <c r="S11" i="7" s="1"/>
  <c r="P25" i="7"/>
  <c r="R13" i="7"/>
  <c r="Q15" i="7"/>
  <c r="Q18" i="7" s="1"/>
  <c r="Q19" i="7" s="1"/>
  <c r="U7" i="7" l="1"/>
  <c r="T8" i="7"/>
  <c r="T11" i="7" s="1"/>
  <c r="Q25" i="7"/>
  <c r="S13" i="7"/>
  <c r="R15" i="7"/>
  <c r="R18" i="7" s="1"/>
  <c r="R19" i="7" s="1"/>
  <c r="V7" i="7" l="1"/>
  <c r="U8" i="7"/>
  <c r="U11" i="7" s="1"/>
  <c r="R25" i="7"/>
  <c r="T13" i="7"/>
  <c r="S15" i="7"/>
  <c r="S18" i="7" s="1"/>
  <c r="S19" i="7" s="1"/>
  <c r="W7" i="7" l="1"/>
  <c r="V8" i="7"/>
  <c r="V11" i="7" s="1"/>
  <c r="S25" i="7"/>
  <c r="U13" i="7"/>
  <c r="T15" i="7"/>
  <c r="T18" i="7" s="1"/>
  <c r="T19" i="7" s="1"/>
  <c r="X7" i="7" l="1"/>
  <c r="W8" i="7"/>
  <c r="W11" i="7" s="1"/>
  <c r="T25" i="7"/>
  <c r="V13" i="7"/>
  <c r="U15" i="7"/>
  <c r="U18" i="7" s="1"/>
  <c r="U19" i="7" s="1"/>
  <c r="Y7" i="7" l="1"/>
  <c r="X8" i="7"/>
  <c r="X11" i="7" s="1"/>
  <c r="U25" i="7"/>
  <c r="W13" i="7"/>
  <c r="V15" i="7"/>
  <c r="V18" i="7" s="1"/>
  <c r="V19" i="7" s="1"/>
  <c r="Z7" i="7" l="1"/>
  <c r="Y8" i="7"/>
  <c r="Y11" i="7" s="1"/>
  <c r="V25" i="7"/>
  <c r="X13" i="7"/>
  <c r="W15" i="7"/>
  <c r="W18" i="7" s="1"/>
  <c r="W19" i="7" s="1"/>
  <c r="AA7" i="7" l="1"/>
  <c r="Z8" i="7"/>
  <c r="Z11" i="7" s="1"/>
  <c r="W25" i="7"/>
  <c r="Y13" i="7"/>
  <c r="X15" i="7"/>
  <c r="X25" i="7" s="1"/>
  <c r="AB7" i="7" l="1"/>
  <c r="AB8" i="7" s="1"/>
  <c r="AB11" i="7" s="1"/>
  <c r="AA8" i="7"/>
  <c r="AA11" i="7" s="1"/>
  <c r="Z13" i="7"/>
  <c r="Y15" i="7"/>
  <c r="Y25" i="7" s="1"/>
  <c r="AA13" i="7" l="1"/>
  <c r="Z15" i="7"/>
  <c r="Z25" i="7" s="1"/>
  <c r="AB13" i="7" l="1"/>
  <c r="AA15" i="7"/>
  <c r="AA25" i="7" s="1"/>
  <c r="AC13" i="7" l="1"/>
  <c r="AB15" i="7"/>
  <c r="AB25" i="7" s="1"/>
  <c r="AD13" i="7" l="1"/>
  <c r="AC15" i="7"/>
  <c r="AC25" i="7" s="1"/>
  <c r="AE13" i="7" l="1"/>
  <c r="AD15" i="7"/>
  <c r="AD25" i="7" s="1"/>
  <c r="AF13" i="7" l="1"/>
  <c r="AE15" i="7"/>
  <c r="AE25" i="7" s="1"/>
  <c r="AG13" i="7" l="1"/>
  <c r="AF15" i="7"/>
  <c r="AF25" i="7" s="1"/>
  <c r="AG15" i="7" l="1"/>
  <c r="AG25" i="7" s="1"/>
  <c r="B13" i="7"/>
  <c r="K10" i="6" l="1"/>
  <c r="C23" i="6" s="1"/>
  <c r="C6" i="7" s="1"/>
  <c r="C24" i="6"/>
  <c r="C25" i="7" l="1"/>
  <c r="K21" i="6"/>
  <c r="K13" i="6"/>
  <c r="B26" i="7" l="1"/>
  <c r="K30" i="6" s="1"/>
</calcChain>
</file>

<file path=xl/sharedStrings.xml><?xml version="1.0" encoding="utf-8"?>
<sst xmlns="http://schemas.openxmlformats.org/spreadsheetml/2006/main" count="75" uniqueCount="72">
  <si>
    <t>Project Specifications</t>
  </si>
  <si>
    <t xml:space="preserve">Revenue </t>
  </si>
  <si>
    <t xml:space="preserve">Financing </t>
  </si>
  <si>
    <t>YES</t>
  </si>
  <si>
    <t>Project Size DC kw</t>
  </si>
  <si>
    <t>PPA rate ($/kwh)</t>
  </si>
  <si>
    <t>Debt %</t>
  </si>
  <si>
    <t>Project Size AC kw</t>
  </si>
  <si>
    <t>PPA escalator (%)</t>
  </si>
  <si>
    <t>Debt</t>
  </si>
  <si>
    <t>Yield kwh/kwp</t>
  </si>
  <si>
    <t>PPA length (yr)</t>
  </si>
  <si>
    <t xml:space="preserve">Term </t>
  </si>
  <si>
    <t>1st year kwh</t>
  </si>
  <si>
    <t>tail rate assumption ($/kwh)</t>
  </si>
  <si>
    <t>Rate %</t>
  </si>
  <si>
    <t>Degredation Assumption %</t>
  </si>
  <si>
    <t>Fee %</t>
  </si>
  <si>
    <t>availability Assumption %</t>
  </si>
  <si>
    <t>Transaction Fees</t>
  </si>
  <si>
    <t>Projected useful life</t>
  </si>
  <si>
    <t xml:space="preserve">DSCR target </t>
  </si>
  <si>
    <t xml:space="preserve">Project Costs </t>
  </si>
  <si>
    <t>Operating Costs</t>
  </si>
  <si>
    <t>Equity</t>
  </si>
  <si>
    <t xml:space="preserve">Development and pre construciton costs </t>
  </si>
  <si>
    <t>Land/lease</t>
  </si>
  <si>
    <t xml:space="preserve">ITC </t>
  </si>
  <si>
    <t>Install cost/W</t>
  </si>
  <si>
    <t>Municipal Incentives</t>
  </si>
  <si>
    <t xml:space="preserve">Construction costs </t>
  </si>
  <si>
    <t>property taxes</t>
  </si>
  <si>
    <t>ITC eligible (y/n)</t>
  </si>
  <si>
    <t>y</t>
  </si>
  <si>
    <t>Municipal fees</t>
  </si>
  <si>
    <t xml:space="preserve">insurance </t>
  </si>
  <si>
    <t xml:space="preserve">ITC rate </t>
  </si>
  <si>
    <t xml:space="preserve">Interconnection </t>
  </si>
  <si>
    <t>O and M rate ($/kW)</t>
  </si>
  <si>
    <t>Eligible Costs assumptions</t>
  </si>
  <si>
    <t>Development Fees</t>
  </si>
  <si>
    <t>O and M cost</t>
  </si>
  <si>
    <t xml:space="preserve">Eligible Costs </t>
  </si>
  <si>
    <t>Total project Cost</t>
  </si>
  <si>
    <t>Variable Operating costs ($/kw)</t>
  </si>
  <si>
    <t xml:space="preserve">Non Eligible costs </t>
  </si>
  <si>
    <t>Variable Operating costs ($)</t>
  </si>
  <si>
    <t>Potential ITC Rebate</t>
  </si>
  <si>
    <t>All in Costs</t>
  </si>
  <si>
    <t>Total Opperations cost yr 1</t>
  </si>
  <si>
    <t xml:space="preserve">HQ ITC Clawback Rate </t>
  </si>
  <si>
    <t>Project cost ($/W)</t>
  </si>
  <si>
    <t>Inflation</t>
  </si>
  <si>
    <t xml:space="preserve">HQ ITC Clawback amount </t>
  </si>
  <si>
    <t>Effective ITC Rebate to Project</t>
  </si>
  <si>
    <t>Major repairs 1 (yr)</t>
  </si>
  <si>
    <t>equipment reserve assumption $/W</t>
  </si>
  <si>
    <t>Equipment reserve requirements ($)</t>
  </si>
  <si>
    <t>Pretax IRR</t>
  </si>
  <si>
    <t>Year</t>
  </si>
  <si>
    <t xml:space="preserve">Production </t>
  </si>
  <si>
    <t>Capital expenditure</t>
  </si>
  <si>
    <t>effective PPA rate</t>
  </si>
  <si>
    <t>Cash in</t>
  </si>
  <si>
    <t xml:space="preserve">Operating costs </t>
  </si>
  <si>
    <t>EBITA</t>
  </si>
  <si>
    <t xml:space="preserve">Debt Service </t>
  </si>
  <si>
    <t>DSCR</t>
  </si>
  <si>
    <t>Pass/fail</t>
  </si>
  <si>
    <t xml:space="preserve">Maintenance reserve </t>
  </si>
  <si>
    <t xml:space="preserve">Maintenance reserve Balance </t>
  </si>
  <si>
    <t>Pre Tax Cashflows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</si>
</sst>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 * #,##0.00_ ;_ * \-#,##0.00_ ;_ * &quot;-&quot;??_ ;_ @_ "/>
    <numFmt numFmtId="165" formatCode="0.000%"/>
    <numFmt numFmtId="166" formatCode="_-&quot;$&quot;* #,##0.0000_-;\-&quot;$&quot;* #,##0.0000_-;_-&quot;$&quot;* &quot;-&quot;??_-;_-@_-"/>
    <numFmt numFmtId="167" formatCode="&quot;$&quot;#,##0.00"/>
    <numFmt numFmtId="168" formatCode="&quot;$&quot;#,##0.000;[Red]\-&quot;$&quot;#,##0.000"/>
    <numFmt numFmtId="169" formatCode="0.0%"/>
  </numFmts>
  <fonts count="12">
    <font>
      <sz val="11"/>
      <color theme="1"/>
      <name val="Calibri"/>
      <family val="2"/>
      <charset val="134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134"/>
      <scheme val="minor"/>
    </font>
    <font>
      <sz val="12"/>
      <color rgb="FF00610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8"/>
      <color rgb="FF006100"/>
      <name val="Calibri"/>
      <family val="2"/>
      <scheme val="minor"/>
    </font>
    <font>
      <b/>
      <sz val="14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7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</cellStyleXfs>
  <cellXfs count="62">
    <xf numFmtId="0" fontId="0" fillId="0" borderId="0" xfId="0">
      <alignment vertical="center"/>
    </xf>
    <xf numFmtId="44" fontId="0" fillId="0" borderId="0" xfId="0" applyNumberFormat="1">
      <alignment vertical="center"/>
    </xf>
    <xf numFmtId="9" fontId="0" fillId="0" borderId="0" xfId="2" applyFont="1">
      <alignment vertical="center"/>
    </xf>
    <xf numFmtId="2" fontId="0" fillId="0" borderId="0" xfId="0" applyNumberFormat="1">
      <alignment vertical="center"/>
    </xf>
    <xf numFmtId="8" fontId="0" fillId="0" borderId="0" xfId="0" applyNumberFormat="1">
      <alignment vertical="center"/>
    </xf>
    <xf numFmtId="9" fontId="0" fillId="0" borderId="0" xfId="0" applyNumberFormat="1">
      <alignment vertical="center"/>
    </xf>
    <xf numFmtId="1" fontId="0" fillId="0" borderId="0" xfId="0" applyNumberFormat="1">
      <alignment vertical="center"/>
    </xf>
    <xf numFmtId="166" fontId="1" fillId="0" borderId="0" xfId="6" applyNumberFormat="1" applyFont="1" applyFill="1" applyAlignment="1">
      <alignment vertical="center"/>
    </xf>
    <xf numFmtId="0" fontId="9" fillId="0" borderId="0" xfId="0" applyFont="1">
      <alignment vertical="center"/>
    </xf>
    <xf numFmtId="0" fontId="10" fillId="0" borderId="1" xfId="0" applyFont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9" fontId="0" fillId="0" borderId="5" xfId="2" applyFont="1" applyBorder="1">
      <alignment vertical="center"/>
    </xf>
    <xf numFmtId="44" fontId="0" fillId="0" borderId="5" xfId="0" applyNumberFormat="1" applyBorder="1">
      <alignment vertical="center"/>
    </xf>
    <xf numFmtId="43" fontId="0" fillId="0" borderId="0" xfId="0" applyNumberFormat="1">
      <alignment vertical="center"/>
    </xf>
    <xf numFmtId="10" fontId="1" fillId="0" borderId="5" xfId="8" applyNumberFormat="1" applyFont="1" applyFill="1" applyBorder="1" applyAlignment="1">
      <alignment vertical="center"/>
    </xf>
    <xf numFmtId="10" fontId="0" fillId="0" borderId="5" xfId="2" applyNumberFormat="1" applyFont="1" applyBorder="1">
      <alignment vertical="center"/>
    </xf>
    <xf numFmtId="44" fontId="0" fillId="0" borderId="5" xfId="6" applyFont="1" applyBorder="1" applyAlignment="1">
      <alignment vertical="center"/>
    </xf>
    <xf numFmtId="9" fontId="0" fillId="0" borderId="5" xfId="0" applyNumberFormat="1" applyBorder="1">
      <alignment vertical="center"/>
    </xf>
    <xf numFmtId="0" fontId="7" fillId="2" borderId="0" xfId="7" applyFont="1" applyBorder="1" applyAlignment="1">
      <alignment vertical="center"/>
    </xf>
    <xf numFmtId="165" fontId="7" fillId="2" borderId="5" xfId="7" applyNumberFormat="1" applyFont="1" applyBorder="1" applyAlignment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0" fillId="0" borderId="9" xfId="0" applyFont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9" fontId="0" fillId="0" borderId="12" xfId="2" applyFont="1" applyBorder="1">
      <alignment vertical="center"/>
    </xf>
    <xf numFmtId="44" fontId="0" fillId="0" borderId="12" xfId="0" applyNumberFormat="1" applyBorder="1">
      <alignment vertical="center"/>
    </xf>
    <xf numFmtId="44" fontId="0" fillId="0" borderId="12" xfId="6" applyFont="1" applyBorder="1" applyAlignment="1">
      <alignment vertical="center"/>
    </xf>
    <xf numFmtId="0" fontId="8" fillId="2" borderId="13" xfId="7" applyFont="1" applyBorder="1" applyAlignment="1">
      <alignment vertical="center"/>
    </xf>
    <xf numFmtId="44" fontId="0" fillId="0" borderId="14" xfId="6" applyFont="1" applyBorder="1" applyAlignment="1">
      <alignment vertical="center"/>
    </xf>
    <xf numFmtId="44" fontId="0" fillId="0" borderId="12" xfId="6" applyFont="1" applyFill="1" applyBorder="1" applyAlignment="1">
      <alignment vertical="center"/>
    </xf>
    <xf numFmtId="166" fontId="1" fillId="0" borderId="14" xfId="6" applyNumberFormat="1" applyFont="1" applyFill="1" applyBorder="1" applyAlignment="1">
      <alignment vertical="center"/>
    </xf>
    <xf numFmtId="0" fontId="0" fillId="0" borderId="15" xfId="0" applyBorder="1">
      <alignment vertical="center"/>
    </xf>
    <xf numFmtId="0" fontId="10" fillId="0" borderId="16" xfId="0" applyFont="1" applyBorder="1">
      <alignment vertical="center"/>
    </xf>
    <xf numFmtId="0" fontId="0" fillId="0" borderId="17" xfId="0" applyBorder="1">
      <alignment vertical="center"/>
    </xf>
    <xf numFmtId="0" fontId="10" fillId="0" borderId="18" xfId="0" applyFont="1" applyBorder="1">
      <alignment vertical="center"/>
    </xf>
    <xf numFmtId="44" fontId="8" fillId="2" borderId="19" xfId="7" applyNumberFormat="1" applyFont="1" applyBorder="1" applyAlignment="1">
      <alignment vertical="center"/>
    </xf>
    <xf numFmtId="0" fontId="0" fillId="0" borderId="20" xfId="0" applyBorder="1">
      <alignment vertical="center"/>
    </xf>
    <xf numFmtId="44" fontId="0" fillId="0" borderId="19" xfId="0" applyNumberFormat="1" applyBorder="1">
      <alignment vertical="center"/>
    </xf>
    <xf numFmtId="10" fontId="0" fillId="0" borderId="0" xfId="0" applyNumberFormat="1">
      <alignment vertical="center"/>
    </xf>
    <xf numFmtId="166" fontId="1" fillId="4" borderId="12" xfId="6" applyNumberFormat="1" applyFont="1" applyFill="1" applyBorder="1" applyAlignment="1">
      <alignment vertical="center"/>
    </xf>
    <xf numFmtId="167" fontId="11" fillId="0" borderId="0" xfId="0" applyNumberFormat="1" applyFont="1">
      <alignment vertical="center"/>
    </xf>
    <xf numFmtId="10" fontId="0" fillId="0" borderId="0" xfId="2" applyNumberFormat="1" applyFont="1">
      <alignment vertical="center"/>
    </xf>
    <xf numFmtId="168" fontId="0" fillId="0" borderId="0" xfId="0" applyNumberFormat="1">
      <alignment vertical="center"/>
    </xf>
    <xf numFmtId="44" fontId="0" fillId="5" borderId="12" xfId="6" applyFont="1" applyFill="1" applyBorder="1" applyAlignment="1">
      <alignment vertical="center"/>
    </xf>
    <xf numFmtId="44" fontId="0" fillId="4" borderId="12" xfId="6" applyFont="1" applyFill="1" applyBorder="1" applyAlignment="1">
      <alignment vertical="center"/>
    </xf>
    <xf numFmtId="164" fontId="0" fillId="4" borderId="12" xfId="1" applyFont="1" applyFill="1" applyBorder="1">
      <alignment vertical="center"/>
    </xf>
    <xf numFmtId="0" fontId="1" fillId="4" borderId="12" xfId="8" applyFont="1" applyFill="1" applyBorder="1" applyAlignment="1">
      <alignment vertical="center"/>
    </xf>
    <xf numFmtId="43" fontId="0" fillId="4" borderId="12" xfId="0" applyNumberFormat="1" applyFill="1" applyBorder="1">
      <alignment vertical="center"/>
    </xf>
    <xf numFmtId="0" fontId="0" fillId="4" borderId="12" xfId="0" applyFill="1" applyBorder="1">
      <alignment vertical="center"/>
    </xf>
    <xf numFmtId="0" fontId="0" fillId="4" borderId="14" xfId="0" applyFill="1" applyBorder="1">
      <alignment vertical="center"/>
    </xf>
    <xf numFmtId="166" fontId="1" fillId="0" borderId="12" xfId="6" applyNumberFormat="1" applyFont="1" applyFill="1" applyBorder="1" applyAlignment="1">
      <alignment vertical="center"/>
    </xf>
    <xf numFmtId="169" fontId="0" fillId="0" borderId="12" xfId="2" applyNumberFormat="1" applyFont="1" applyFill="1" applyBorder="1">
      <alignment vertical="center"/>
    </xf>
    <xf numFmtId="10" fontId="1" fillId="4" borderId="5" xfId="8" applyNumberFormat="1" applyFont="1" applyFill="1" applyBorder="1" applyAlignment="1">
      <alignment vertical="center"/>
    </xf>
    <xf numFmtId="44" fontId="0" fillId="4" borderId="5" xfId="0" applyNumberFormat="1" applyFill="1" applyBorder="1">
      <alignment vertical="center"/>
    </xf>
  </cellXfs>
  <cellStyles count="9">
    <cellStyle name="Accent4" xfId="8" builtinId="41"/>
    <cellStyle name="Comma" xfId="1" builtinId="3"/>
    <cellStyle name="Comma 2 2" xfId="4" xr:uid="{00000000-0005-0000-0000-000000000000}"/>
    <cellStyle name="Currency" xfId="6" builtinId="4"/>
    <cellStyle name="Good" xfId="7" builtinId="26"/>
    <cellStyle name="Normal" xfId="0" builtinId="0"/>
    <cellStyle name="Normal 2" xfId="3" xr:uid="{00000000-0005-0000-0000-000001000000}"/>
    <cellStyle name="Percent" xfId="2" builtinId="5"/>
    <cellStyle name="Percent 2" xfId="5" xr:uid="{00000000-0005-0000-0000-000002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6F16C-6369-4B39-B9C9-8E9E13E67C91}">
  <dimension ref="B2:K46"/>
  <sheetViews>
    <sheetView tabSelected="1" workbookViewId="0">
      <selection activeCell="G6" sqref="G6"/>
    </sheetView>
  </sheetViews>
  <sheetFormatPr defaultColWidth="8.85546875" defaultRowHeight="15"/>
  <cols>
    <col min="2" max="2" width="36.42578125" customWidth="1"/>
    <col min="3" max="3" width="16.42578125" bestFit="1" customWidth="1"/>
    <col min="4" max="4" width="9.85546875" bestFit="1" customWidth="1"/>
    <col min="6" max="6" width="35.85546875" customWidth="1"/>
    <col min="7" max="7" width="21.140625" bestFit="1" customWidth="1"/>
    <col min="8" max="8" width="9.42578125" customWidth="1"/>
    <col min="10" max="10" width="29.85546875" customWidth="1"/>
    <col min="11" max="11" width="28.140625" customWidth="1"/>
  </cols>
  <sheetData>
    <row r="2" spans="2:11" ht="15.75" thickBot="1"/>
    <row r="3" spans="2:11" ht="18.75">
      <c r="B3" s="9" t="s">
        <v>0</v>
      </c>
      <c r="C3" s="39"/>
      <c r="D3" s="10"/>
      <c r="E3" s="10"/>
      <c r="F3" s="40" t="s">
        <v>1</v>
      </c>
      <c r="G3" s="39"/>
      <c r="H3" s="10"/>
      <c r="I3" s="10"/>
      <c r="J3" s="40" t="s">
        <v>2</v>
      </c>
      <c r="K3" s="11"/>
    </row>
    <row r="4" spans="2:11">
      <c r="B4" s="12"/>
      <c r="C4" s="29"/>
      <c r="F4" s="28"/>
      <c r="G4" s="29"/>
      <c r="J4" s="28" t="s">
        <v>2</v>
      </c>
      <c r="K4" s="13" t="s">
        <v>3</v>
      </c>
    </row>
    <row r="5" spans="2:11" ht="15.75">
      <c r="B5" s="12" t="s">
        <v>4</v>
      </c>
      <c r="C5" s="53">
        <v>1650</v>
      </c>
      <c r="F5" s="28" t="s">
        <v>5</v>
      </c>
      <c r="G5" s="58">
        <v>0.11</v>
      </c>
      <c r="J5" s="28" t="s">
        <v>6</v>
      </c>
      <c r="K5" s="14">
        <v>0.8</v>
      </c>
    </row>
    <row r="6" spans="2:11">
      <c r="B6" s="12" t="s">
        <v>7</v>
      </c>
      <c r="C6" s="53">
        <f>C5/1.25</f>
        <v>1320</v>
      </c>
      <c r="F6" s="28" t="s">
        <v>8</v>
      </c>
      <c r="G6" s="59">
        <v>0.02</v>
      </c>
      <c r="J6" s="28" t="s">
        <v>9</v>
      </c>
      <c r="K6" s="15">
        <f>C21*K5-(K20*K18)</f>
        <v>1830088.8200000003</v>
      </c>
    </row>
    <row r="7" spans="2:11" ht="15.75">
      <c r="B7" s="12" t="s">
        <v>10</v>
      </c>
      <c r="C7" s="54">
        <v>1150</v>
      </c>
      <c r="D7" s="16"/>
      <c r="F7" s="28" t="s">
        <v>11</v>
      </c>
      <c r="G7" s="29">
        <v>25</v>
      </c>
      <c r="J7" s="28" t="s">
        <v>12</v>
      </c>
      <c r="K7" s="13">
        <v>20</v>
      </c>
    </row>
    <row r="8" spans="2:11" ht="15.75">
      <c r="B8" s="12" t="s">
        <v>13</v>
      </c>
      <c r="C8" s="55">
        <f>C7*C5</f>
        <v>1897500</v>
      </c>
      <c r="F8" s="30" t="s">
        <v>14</v>
      </c>
      <c r="G8" s="31">
        <v>0.08</v>
      </c>
      <c r="J8" s="28" t="s">
        <v>15</v>
      </c>
      <c r="K8" s="17">
        <v>5.5E-2</v>
      </c>
    </row>
    <row r="9" spans="2:11">
      <c r="B9" s="12" t="s">
        <v>16</v>
      </c>
      <c r="C9" s="56">
        <v>0.5</v>
      </c>
      <c r="J9" s="28" t="s">
        <v>17</v>
      </c>
      <c r="K9" s="18">
        <v>5.0000000000000001E-3</v>
      </c>
    </row>
    <row r="10" spans="2:11">
      <c r="B10" s="12" t="s">
        <v>18</v>
      </c>
      <c r="C10" s="56">
        <v>0.5</v>
      </c>
      <c r="J10" s="28" t="s">
        <v>19</v>
      </c>
      <c r="K10" s="19">
        <f>K9*K6</f>
        <v>9150.4441000000024</v>
      </c>
    </row>
    <row r="11" spans="2:11">
      <c r="B11" s="41" t="s">
        <v>20</v>
      </c>
      <c r="C11" s="57">
        <v>25</v>
      </c>
      <c r="J11" s="28" t="s">
        <v>21</v>
      </c>
      <c r="K11" s="13">
        <v>1.2</v>
      </c>
    </row>
    <row r="12" spans="2:11">
      <c r="B12" s="12"/>
      <c r="J12" s="28"/>
      <c r="K12" s="13"/>
    </row>
    <row r="13" spans="2:11" ht="18.75">
      <c r="B13" s="42" t="s">
        <v>22</v>
      </c>
      <c r="C13" s="27"/>
      <c r="F13" s="26" t="s">
        <v>23</v>
      </c>
      <c r="G13" s="27"/>
      <c r="J13" s="35" t="s">
        <v>24</v>
      </c>
      <c r="K13" s="43">
        <f>C23-K6-(K20*K18)</f>
        <v>660650.77409999957</v>
      </c>
    </row>
    <row r="14" spans="2:11">
      <c r="B14" s="12"/>
      <c r="C14" s="29"/>
      <c r="F14" s="28"/>
      <c r="G14" s="29"/>
      <c r="K14" s="13"/>
    </row>
    <row r="15" spans="2:11" ht="18.75">
      <c r="B15" s="12" t="s">
        <v>25</v>
      </c>
      <c r="C15" s="51"/>
      <c r="F15" s="28" t="s">
        <v>26</v>
      </c>
      <c r="G15" s="34">
        <v>0</v>
      </c>
      <c r="J15" s="26" t="s">
        <v>27</v>
      </c>
      <c r="K15" s="44"/>
    </row>
    <row r="16" spans="2:11" ht="15.75">
      <c r="B16" s="12" t="s">
        <v>28</v>
      </c>
      <c r="C16" s="47">
        <v>1.65</v>
      </c>
      <c r="F16" s="28" t="s">
        <v>29</v>
      </c>
      <c r="G16" s="34">
        <v>0</v>
      </c>
      <c r="J16" s="28"/>
      <c r="K16" s="13"/>
    </row>
    <row r="17" spans="2:11">
      <c r="B17" s="12" t="s">
        <v>30</v>
      </c>
      <c r="C17" s="52">
        <f>C16*C5*1000</f>
        <v>2722500</v>
      </c>
      <c r="F17" s="28" t="s">
        <v>31</v>
      </c>
      <c r="G17" s="34">
        <v>0</v>
      </c>
      <c r="J17" s="28" t="s">
        <v>32</v>
      </c>
      <c r="K17" s="13" t="s">
        <v>33</v>
      </c>
    </row>
    <row r="18" spans="2:11">
      <c r="B18" s="12" t="s">
        <v>34</v>
      </c>
      <c r="C18" s="51">
        <v>75000</v>
      </c>
      <c r="F18" s="28" t="s">
        <v>35</v>
      </c>
      <c r="G18" s="34">
        <v>0</v>
      </c>
      <c r="J18" s="28" t="s">
        <v>36</v>
      </c>
      <c r="K18" s="14">
        <v>0.3</v>
      </c>
    </row>
    <row r="19" spans="2:11" ht="15.75">
      <c r="B19" s="12" t="s">
        <v>37</v>
      </c>
      <c r="C19" s="51">
        <v>460000</v>
      </c>
      <c r="F19" s="28" t="s">
        <v>38</v>
      </c>
      <c r="G19" s="52">
        <v>12</v>
      </c>
      <c r="J19" s="28" t="s">
        <v>39</v>
      </c>
      <c r="K19" s="60">
        <v>0.95</v>
      </c>
    </row>
    <row r="20" spans="2:11">
      <c r="B20" s="12" t="s">
        <v>40</v>
      </c>
      <c r="C20" s="37">
        <v>0</v>
      </c>
      <c r="F20" s="28" t="s">
        <v>41</v>
      </c>
      <c r="G20" s="52">
        <f>G19*C5</f>
        <v>19800</v>
      </c>
      <c r="J20" s="28" t="s">
        <v>42</v>
      </c>
      <c r="K20" s="61">
        <f>K19*C17</f>
        <v>2586375</v>
      </c>
    </row>
    <row r="21" spans="2:11">
      <c r="B21" s="12" t="s">
        <v>43</v>
      </c>
      <c r="C21" s="34">
        <f>SUM(C15:C20)</f>
        <v>3257501.65</v>
      </c>
      <c r="F21" s="28" t="s">
        <v>44</v>
      </c>
      <c r="G21" s="52">
        <v>0.8</v>
      </c>
      <c r="J21" s="28" t="s">
        <v>45</v>
      </c>
      <c r="K21" s="61">
        <f>C23-K20</f>
        <v>680277.09409999987</v>
      </c>
    </row>
    <row r="22" spans="2:11">
      <c r="B22" s="12"/>
      <c r="C22" s="29"/>
      <c r="F22" s="28" t="s">
        <v>46</v>
      </c>
      <c r="G22" s="52">
        <f>G21*C5</f>
        <v>1320</v>
      </c>
      <c r="J22" s="28" t="s">
        <v>47</v>
      </c>
      <c r="K22" s="61">
        <f>K20*K18</f>
        <v>775912.5</v>
      </c>
    </row>
    <row r="23" spans="2:11">
      <c r="B23" s="12" t="s">
        <v>48</v>
      </c>
      <c r="C23" s="33">
        <f>C21+K10</f>
        <v>3266652.0940999999</v>
      </c>
      <c r="F23" s="28" t="s">
        <v>49</v>
      </c>
      <c r="G23" s="34">
        <f>G20+G18+G17+G15+G22+G16</f>
        <v>21120</v>
      </c>
      <c r="J23" s="28" t="s">
        <v>50</v>
      </c>
      <c r="K23" s="20">
        <v>0</v>
      </c>
    </row>
    <row r="24" spans="2:11" ht="15.75">
      <c r="B24" s="41" t="s">
        <v>51</v>
      </c>
      <c r="C24" s="38">
        <f>(C21/C5)/1000</f>
        <v>1.9742434242424243</v>
      </c>
      <c r="F24" s="28" t="s">
        <v>52</v>
      </c>
      <c r="G24" s="32">
        <v>0.02</v>
      </c>
      <c r="J24" s="28" t="s">
        <v>53</v>
      </c>
      <c r="K24" s="15">
        <f>K22*K23</f>
        <v>0</v>
      </c>
    </row>
    <row r="25" spans="2:11">
      <c r="B25" s="12"/>
      <c r="F25" s="28"/>
      <c r="G25" s="29"/>
      <c r="J25" s="30" t="s">
        <v>54</v>
      </c>
      <c r="K25" s="45">
        <f>K22-K24</f>
        <v>775912.5</v>
      </c>
    </row>
    <row r="26" spans="2:11">
      <c r="B26" s="12"/>
      <c r="F26" s="28" t="s">
        <v>55</v>
      </c>
      <c r="G26" s="56">
        <v>0</v>
      </c>
      <c r="K26" s="13"/>
    </row>
    <row r="27" spans="2:11">
      <c r="B27" s="12"/>
      <c r="F27" s="28"/>
      <c r="G27" s="29"/>
      <c r="K27" s="13"/>
    </row>
    <row r="28" spans="2:11">
      <c r="B28" s="12"/>
      <c r="F28" s="28"/>
      <c r="G28" s="29"/>
      <c r="K28" s="13"/>
    </row>
    <row r="29" spans="2:11">
      <c r="B29" s="12"/>
      <c r="F29" s="28" t="s">
        <v>56</v>
      </c>
      <c r="G29" s="34">
        <v>0</v>
      </c>
      <c r="K29" s="13"/>
    </row>
    <row r="30" spans="2:11" ht="23.25">
      <c r="B30" s="12"/>
      <c r="F30" s="30" t="s">
        <v>57</v>
      </c>
      <c r="G30" s="36">
        <f>C5*G29*1000</f>
        <v>0</v>
      </c>
      <c r="J30" s="21" t="s">
        <v>58</v>
      </c>
      <c r="K30" s="22">
        <f>CashFlow!B26</f>
        <v>0.10085793134195109</v>
      </c>
    </row>
    <row r="31" spans="2:11" ht="15.75" thickBot="1">
      <c r="B31" s="23"/>
      <c r="C31" s="24"/>
      <c r="D31" s="24"/>
      <c r="E31" s="24"/>
      <c r="F31" s="24"/>
      <c r="G31" s="24"/>
      <c r="H31" s="24"/>
      <c r="I31" s="24"/>
      <c r="J31" s="24"/>
      <c r="K31" s="25"/>
    </row>
    <row r="46" spans="3:3" ht="15.75">
      <c r="C46" s="7"/>
    </row>
  </sheetData>
  <dataValidations count="1">
    <dataValidation type="list" allowBlank="1" showInputMessage="1" showErrorMessage="1" sqref="K4" xr:uid="{769A5C40-BF40-4942-A353-91B2B32AF8AB}">
      <formula1>"YES, NO"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3B2F8-0145-4653-9281-201BB0DE0395}">
  <dimension ref="A3:AN33"/>
  <sheetViews>
    <sheetView workbookViewId="0">
      <selection activeCell="D4" sqref="D4"/>
    </sheetView>
  </sheetViews>
  <sheetFormatPr defaultColWidth="8.85546875" defaultRowHeight="15"/>
  <cols>
    <col min="1" max="1" width="28.42578125" customWidth="1"/>
    <col min="2" max="2" width="17" customWidth="1"/>
    <col min="3" max="3" width="16.42578125" customWidth="1"/>
    <col min="4" max="5" width="15.42578125" bestFit="1" customWidth="1"/>
    <col min="6" max="6" width="18.42578125" bestFit="1" customWidth="1"/>
    <col min="7" max="33" width="15.42578125" bestFit="1" customWidth="1"/>
    <col min="34" max="35" width="14.42578125" bestFit="1" customWidth="1"/>
  </cols>
  <sheetData>
    <row r="3" spans="1:40">
      <c r="A3" s="8" t="s">
        <v>59</v>
      </c>
      <c r="C3">
        <v>0</v>
      </c>
      <c r="D3">
        <v>1</v>
      </c>
      <c r="E3">
        <v>2</v>
      </c>
      <c r="F3">
        <v>3</v>
      </c>
      <c r="G3">
        <v>4</v>
      </c>
      <c r="H3">
        <v>5</v>
      </c>
      <c r="I3">
        <v>6</v>
      </c>
      <c r="J3">
        <v>7</v>
      </c>
      <c r="K3">
        <v>8</v>
      </c>
      <c r="L3">
        <v>9</v>
      </c>
      <c r="M3">
        <v>10</v>
      </c>
      <c r="N3">
        <v>11</v>
      </c>
      <c r="O3">
        <v>12</v>
      </c>
      <c r="P3">
        <v>13</v>
      </c>
      <c r="Q3">
        <v>14</v>
      </c>
      <c r="R3">
        <v>15</v>
      </c>
      <c r="S3">
        <v>16</v>
      </c>
      <c r="T3">
        <v>17</v>
      </c>
      <c r="U3">
        <v>18</v>
      </c>
      <c r="V3">
        <v>19</v>
      </c>
      <c r="W3">
        <v>20</v>
      </c>
      <c r="X3">
        <v>21</v>
      </c>
      <c r="Y3">
        <v>22</v>
      </c>
      <c r="Z3">
        <v>23</v>
      </c>
      <c r="AA3">
        <v>24</v>
      </c>
      <c r="AB3">
        <v>25</v>
      </c>
      <c r="AC3">
        <v>26</v>
      </c>
      <c r="AD3">
        <v>27</v>
      </c>
      <c r="AE3">
        <v>28</v>
      </c>
      <c r="AF3">
        <v>29</v>
      </c>
      <c r="AG3">
        <v>30</v>
      </c>
    </row>
    <row r="4" spans="1:40">
      <c r="A4" s="8" t="s">
        <v>60</v>
      </c>
      <c r="B4" s="4"/>
      <c r="C4" s="4"/>
      <c r="D4" s="6">
        <f>IF(D3&lt;='Assumptions '!$C$11,('Assumptions '!$C$7/(1+(('Assumptions '!$C$9/100)*CashFlow!B3))*'Assumptions '!$C$5)*(1-('Assumptions '!$C$10)/100),0)</f>
        <v>1888012.5</v>
      </c>
      <c r="E4" s="6">
        <f>IF(E3&lt;='Assumptions '!$C$11,('Assumptions '!$C$7/(1+(('Assumptions '!$C$9/100)*CashFlow!C3))*'Assumptions '!$C$5)*(1-('Assumptions '!$C$10)/100),0)</f>
        <v>1888012.5</v>
      </c>
      <c r="F4" s="6">
        <f>IF(F3&lt;='Assumptions '!$C$11,('Assumptions '!$C$7/(1+(('Assumptions '!$C$9/100)*CashFlow!D3))*'Assumptions '!$C$5)*(1-('Assumptions '!$C$10)/100),0)</f>
        <v>1878619.4029850748</v>
      </c>
      <c r="G4" s="6">
        <f>IF(G3&lt;='Assumptions '!$C$11,('Assumptions '!$C$7/(1+(('Assumptions '!$C$9/100)*CashFlow!E3))*'Assumptions '!$C$5)*(1-('Assumptions '!$C$10)/100),0)</f>
        <v>1869319.3069306931</v>
      </c>
      <c r="H4" s="6">
        <f>IF(H3&lt;='Assumptions '!$C$11,('Assumptions '!$C$7/(1+(('Assumptions '!$C$9/100)*CashFlow!F3))*'Assumptions '!$C$5)*(1-('Assumptions '!$C$10)/100),0)</f>
        <v>1860110.8374384239</v>
      </c>
      <c r="I4" s="6">
        <f>IF(I3&lt;='Assumptions '!$C$11,('Assumptions '!$C$7/(1+(('Assumptions '!$C$9/100)*CashFlow!G3))*'Assumptions '!$C$5)*(1-('Assumptions '!$C$10)/100),0)</f>
        <v>1850992.6470588234</v>
      </c>
      <c r="J4" s="6">
        <f>IF(J3&lt;='Assumptions '!$C$11,('Assumptions '!$C$7/(1+(('Assumptions '!$C$9/100)*CashFlow!H3))*'Assumptions '!$C$5)*(1-('Assumptions '!$C$10)/100),0)</f>
        <v>1841963.4146341463</v>
      </c>
      <c r="K4" s="6">
        <f>IF(K3&lt;='Assumptions '!$C$11,('Assumptions '!$C$7/(1+(('Assumptions '!$C$9/100)*CashFlow!I3))*'Assumptions '!$C$5)*(1-('Assumptions '!$C$10)/100),0)</f>
        <v>1833021.8446601941</v>
      </c>
      <c r="L4" s="6">
        <f>IF(L3&lt;='Assumptions '!$C$11,('Assumptions '!$C$7/(1+(('Assumptions '!$C$9/100)*CashFlow!J3))*'Assumptions '!$C$5)*(1-('Assumptions '!$C$10)/100),0)</f>
        <v>1824166.6666666665</v>
      </c>
      <c r="M4" s="6">
        <f>IF(M3&lt;='Assumptions '!$C$11,('Assumptions '!$C$7/(1+(('Assumptions '!$C$9/100)*CashFlow!K3))*'Assumptions '!$C$5)*(1-('Assumptions '!$C$10)/100),0)</f>
        <v>1815396.6346153845</v>
      </c>
      <c r="N4" s="6">
        <f>IF(N3&lt;='Assumptions '!$C$11,('Assumptions '!$C$7/(1+(('Assumptions '!$C$9/100)*CashFlow!L3))*'Assumptions '!$C$5)*(1-('Assumptions '!$C$10)/100),0)</f>
        <v>1806710.5263157897</v>
      </c>
      <c r="O4" s="6">
        <f>IF(O3&lt;='Assumptions '!$C$11,('Assumptions '!$C$7/(1+(('Assumptions '!$C$9/100)*CashFlow!M3))*'Assumptions '!$C$5)*(1-('Assumptions '!$C$10)/100),0)</f>
        <v>1798107.1428571427</v>
      </c>
      <c r="P4" s="6">
        <f>IF(P3&lt;='Assumptions '!$C$11,('Assumptions '!$C$7/(1+(('Assumptions '!$C$9/100)*CashFlow!N3))*'Assumptions '!$C$5)*(1-('Assumptions '!$C$10)/100),0)</f>
        <v>1789585.3080568721</v>
      </c>
      <c r="Q4" s="6">
        <f>IF(Q3&lt;='Assumptions '!$C$11,('Assumptions '!$C$7/(1+(('Assumptions '!$C$9/100)*CashFlow!O3))*'Assumptions '!$C$5)*(1-('Assumptions '!$C$10)/100),0)</f>
        <v>1781143.867924528</v>
      </c>
      <c r="R4" s="6">
        <f>IF(R3&lt;='Assumptions '!$C$11,('Assumptions '!$C$7/(1+(('Assumptions '!$C$9/100)*CashFlow!P3))*'Assumptions '!$C$5)*(1-('Assumptions '!$C$10)/100),0)</f>
        <v>1772781.6901408453</v>
      </c>
      <c r="S4" s="6">
        <f>IF(S3&lt;='Assumptions '!$C$11,('Assumptions '!$C$7/(1+(('Assumptions '!$C$9/100)*CashFlow!Q3))*'Assumptions '!$C$5)*(1-('Assumptions '!$C$10)/100),0)</f>
        <v>1764497.6635514016</v>
      </c>
      <c r="T4" s="6">
        <f>IF(T3&lt;='Assumptions '!$C$11,('Assumptions '!$C$7/(1+(('Assumptions '!$C$9/100)*CashFlow!R3))*'Assumptions '!$C$5)*(1-('Assumptions '!$C$10)/100),0)</f>
        <v>1756290.6976744188</v>
      </c>
      <c r="U4" s="6">
        <f>IF(U3&lt;='Assumptions '!$C$11,('Assumptions '!$C$7/(1+(('Assumptions '!$C$9/100)*CashFlow!S3))*'Assumptions '!$C$5)*(1-('Assumptions '!$C$10)/100),0)</f>
        <v>1748159.7222222222</v>
      </c>
      <c r="V4" s="6">
        <f>IF(V3&lt;='Assumptions '!$C$11,('Assumptions '!$C$7/(1+(('Assumptions '!$C$9/100)*CashFlow!T3))*'Assumptions '!$C$5)*(1-('Assumptions '!$C$10)/100),0)</f>
        <v>1740103.686635945</v>
      </c>
      <c r="W4" s="6">
        <f>IF(W3&lt;='Assumptions '!$C$11,('Assumptions '!$C$7/(1+(('Assumptions '!$C$9/100)*CashFlow!U3))*'Assumptions '!$C$5)*(1-('Assumptions '!$C$10)/100),0)</f>
        <v>1732121.5596330275</v>
      </c>
      <c r="X4" s="6">
        <f>IF(X3&lt;='Assumptions '!$C$11,('Assumptions '!$C$7/(1+(('Assumptions '!$C$9/100)*CashFlow!V3))*'Assumptions '!$C$5)*(1-('Assumptions '!$C$10)/100),0)</f>
        <v>1724212.3287671234</v>
      </c>
      <c r="Y4" s="6">
        <f>IF(Y3&lt;='Assumptions '!$C$11,('Assumptions '!$C$7/(1+(('Assumptions '!$C$9/100)*CashFlow!W3))*'Assumptions '!$C$5)*(1-('Assumptions '!$C$10)/100),0)</f>
        <v>1716374.9999999998</v>
      </c>
      <c r="Z4" s="6">
        <f>IF(Z3&lt;='Assumptions '!$C$11,('Assumptions '!$C$7/(1+(('Assumptions '!$C$9/100)*CashFlow!X3))*'Assumptions '!$C$5)*(1-('Assumptions '!$C$10)/100),0)</f>
        <v>1708608.5972850681</v>
      </c>
      <c r="AA4" s="6">
        <f>IF(AA3&lt;='Assumptions '!$C$11,('Assumptions '!$C$7/(1+(('Assumptions '!$C$9/100)*CashFlow!Y3))*'Assumptions '!$C$5)*(1-('Assumptions '!$C$10)/100),0)</f>
        <v>1700912.1621621621</v>
      </c>
      <c r="AB4" s="6">
        <f>IF(AB3&lt;='Assumptions '!$C$11,('Assumptions '!$C$7/(1+(('Assumptions '!$C$9/100)*CashFlow!Z3))*'Assumptions '!$C$5)*(1-('Assumptions '!$C$10)/100),0)</f>
        <v>1693284.7533632289</v>
      </c>
      <c r="AC4" s="6">
        <f>IF(AC3&lt;='Assumptions '!$C$11,('Assumptions '!$C$7/(1+(('Assumptions '!$C$9/100)*CashFlow!AB3))*'Assumptions '!$C$5)*'Assumptions '!$C$10,0)</f>
        <v>0</v>
      </c>
      <c r="AD4" s="6">
        <f>IF(AD3&lt;='Assumptions '!$C$11,('Assumptions '!$C$7/(1+(('Assumptions '!$C$9/100)*CashFlow!AC3))*'Assumptions '!$C$5)*'Assumptions '!$C$10,0)</f>
        <v>0</v>
      </c>
      <c r="AE4" s="6">
        <f>IF(AE3&lt;='Assumptions '!$C$11,('Assumptions '!$C$7/(1+(('Assumptions '!$C$9/100)*CashFlow!AD3))*'Assumptions '!$C$5)*'Assumptions '!$C$10,0)</f>
        <v>0</v>
      </c>
      <c r="AF4" s="6">
        <f>IF(AF3&lt;='Assumptions '!$C$11,('Assumptions '!$C$7/(1+(('Assumptions '!$C$9/100)*CashFlow!AE3))*'Assumptions '!$C$5)*'Assumptions '!$C$10,0)</f>
        <v>0</v>
      </c>
      <c r="AG4" s="6">
        <f>IF(AG3&lt;='Assumptions '!$C$11,('Assumptions '!$C$7/(1+(('Assumptions '!$C$9/100)*CashFlow!AF3))*'Assumptions '!$C$5)*'Assumptions '!$C$10,0)</f>
        <v>0</v>
      </c>
      <c r="AH4" s="4"/>
      <c r="AI4" s="4"/>
      <c r="AJ4" s="4"/>
      <c r="AK4" s="4"/>
      <c r="AL4" s="4"/>
      <c r="AM4" s="4"/>
      <c r="AN4" s="4"/>
    </row>
    <row r="5" spans="1:40">
      <c r="A5" s="8"/>
      <c r="B5" s="4"/>
      <c r="C5" s="4"/>
      <c r="D5" s="4"/>
      <c r="E5" s="49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</row>
    <row r="6" spans="1:40">
      <c r="A6" s="8" t="s">
        <v>61</v>
      </c>
      <c r="B6" s="4"/>
      <c r="C6" s="48">
        <f>-IF('Assumptions '!K4="YES",('Assumptions '!C23-'Assumptions '!K6),'Assumptions '!C23)</f>
        <v>-1436563.2740999996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</row>
    <row r="7" spans="1:40">
      <c r="A7" s="8" t="s">
        <v>62</v>
      </c>
      <c r="B7" s="4"/>
      <c r="C7" s="4"/>
      <c r="D7" s="50">
        <f>'Assumptions '!G5</f>
        <v>0.11</v>
      </c>
      <c r="E7" s="50">
        <f>D7+(D7*'Assumptions '!$G$6)</f>
        <v>0.11219999999999999</v>
      </c>
      <c r="F7" s="50">
        <f>E7+(E7*'Assumptions '!$G$6)</f>
        <v>0.11444399999999999</v>
      </c>
      <c r="G7" s="50">
        <f>F7+(F7*'Assumptions '!$G$6)</f>
        <v>0.11673287999999998</v>
      </c>
      <c r="H7" s="50">
        <f>G7+(G7*'Assumptions '!$G$6)</f>
        <v>0.11906753759999998</v>
      </c>
      <c r="I7" s="50">
        <f>H7+(H7*'Assumptions '!$G$6)</f>
        <v>0.12144888835199998</v>
      </c>
      <c r="J7" s="50">
        <f>I7+(I7*'Assumptions '!$G$6)</f>
        <v>0.12387786611903998</v>
      </c>
      <c r="K7" s="50">
        <f>J7+(J7*'Assumptions '!$G$6)</f>
        <v>0.12635542344142078</v>
      </c>
      <c r="L7" s="50">
        <f>K7+(K7*'Assumptions '!$G$6)</f>
        <v>0.1288825319102492</v>
      </c>
      <c r="M7" s="50">
        <f>L7+(L7*'Assumptions '!$G$6)</f>
        <v>0.13146018254845418</v>
      </c>
      <c r="N7" s="50">
        <f>M7+(M7*'Assumptions '!$G$6)</f>
        <v>0.13408938619942326</v>
      </c>
      <c r="O7" s="50">
        <f>N7+(N7*'Assumptions '!$G$6)</f>
        <v>0.13677117392341173</v>
      </c>
      <c r="P7" s="50">
        <f>O7+(O7*'Assumptions '!$G$6)</f>
        <v>0.13950659740187996</v>
      </c>
      <c r="Q7" s="50">
        <f>P7+(P7*'Assumptions '!$G$6)</f>
        <v>0.14229672934991755</v>
      </c>
      <c r="R7" s="50">
        <f>Q7+(Q7*'Assumptions '!$G$6)</f>
        <v>0.14514266393691591</v>
      </c>
      <c r="S7" s="50">
        <f>R7+(R7*'Assumptions '!$G$6)</f>
        <v>0.14804551721565423</v>
      </c>
      <c r="T7" s="50">
        <f>S7+(S7*'Assumptions '!$G$6)</f>
        <v>0.15100642755996732</v>
      </c>
      <c r="U7" s="50">
        <f>T7+(T7*'Assumptions '!$G$6)</f>
        <v>0.15402655611116667</v>
      </c>
      <c r="V7" s="50">
        <f>U7+(U7*'Assumptions '!$G$6)</f>
        <v>0.15710708723339001</v>
      </c>
      <c r="W7" s="50">
        <f>V7+(V7*'Assumptions '!$G$6)</f>
        <v>0.16024922897805779</v>
      </c>
      <c r="X7" s="50">
        <f>W7+(W7*'Assumptions '!$G$6)</f>
        <v>0.16345421355761894</v>
      </c>
      <c r="Y7" s="50">
        <f>X7+(X7*'Assumptions '!$G$6)</f>
        <v>0.16672329782877132</v>
      </c>
      <c r="Z7" s="50">
        <f>Y7+(Y7*'Assumptions '!$G$6)</f>
        <v>0.17005776378534676</v>
      </c>
      <c r="AA7" s="50">
        <f>Z7+(Z7*'Assumptions '!$G$6)</f>
        <v>0.17345891906105371</v>
      </c>
      <c r="AB7" s="50">
        <f>AA7+(AA7*'Assumptions '!$G$6)</f>
        <v>0.17692809744227478</v>
      </c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</row>
    <row r="8" spans="1:40">
      <c r="A8" s="8" t="s">
        <v>1</v>
      </c>
      <c r="B8" s="4"/>
      <c r="C8" s="1">
        <f>'Assumptions '!K25</f>
        <v>775912.5</v>
      </c>
      <c r="D8" s="4">
        <f>IF(D3&lt;='Assumptions '!$G$7,CashFlow!D4*CashFlow!D7,D4*CashFlow!$J$13)</f>
        <v>207681.375</v>
      </c>
      <c r="E8" s="4">
        <f>IF(E3&lt;='Assumptions '!$G$7,CashFlow!E4*CashFlow!E7,E4*CashFlow!$J$13)</f>
        <v>211835.0025</v>
      </c>
      <c r="F8" s="4">
        <f>IF(F3&lt;='Assumptions '!$G$7,CashFlow!F4*CashFlow!F7,F4*CashFlow!$J$13)</f>
        <v>214996.71895522389</v>
      </c>
      <c r="G8" s="4">
        <f>IF(G3&lt;='Assumptions '!$G$7,CashFlow!G4*CashFlow!G7,G4*CashFlow!$J$13)</f>
        <v>218211.02633762374</v>
      </c>
      <c r="H8" s="4">
        <f>IF(H3&lt;='Assumptions '!$G$7,CashFlow!H4*CashFlow!H7,H4*CashFlow!$J$13)</f>
        <v>221478.81707686698</v>
      </c>
      <c r="I8" s="4">
        <f>IF(I3&lt;='Assumptions '!$G$7,CashFlow!I4*CashFlow!I7,I4*CashFlow!$J$13)</f>
        <v>224800.99933301995</v>
      </c>
      <c r="J8" s="4">
        <f>IF(J3&lt;='Assumptions '!$G$7,CashFlow!J4*CashFlow!J7,J4*CashFlow!$J$13)</f>
        <v>228178.49727421848</v>
      </c>
      <c r="K8" s="4">
        <f>IF(K3&lt;='Assumptions '!$G$7,CashFlow!K4*CashFlow!K7,K4*CashFlow!$J$13)</f>
        <v>231612.25135941306</v>
      </c>
      <c r="L8" s="4">
        <f>IF(L3&lt;='Assumptions '!$G$7,CashFlow!L4*CashFlow!L7,L4*CashFlow!$J$13)</f>
        <v>235103.21862627956</v>
      </c>
      <c r="M8" s="4">
        <f>IF(M3&lt;='Assumptions '!$G$7,CashFlow!M4*CashFlow!M7,M4*CashFlow!$J$13)</f>
        <v>238652.37298438782</v>
      </c>
      <c r="N8" s="4">
        <f>IF(N3&lt;='Assumptions '!$G$7,CashFlow!N4*CashFlow!N7,N4*CashFlow!$J$13)</f>
        <v>242260.70551372119</v>
      </c>
      <c r="O8" s="4">
        <f>IF(O3&lt;='Assumptions '!$G$7,CashFlow!O4*CashFlow!O7,O4*CashFlow!$J$13)</f>
        <v>245929.22476864321</v>
      </c>
      <c r="P8" s="4">
        <f>IF(P3&lt;='Assumptions '!$G$7,CashFlow!P4*CashFlow!P7,P4*CashFlow!$J$13)</f>
        <v>249658.95708740936</v>
      </c>
      <c r="Q8" s="4">
        <f>IF(Q3&lt;='Assumptions '!$G$7,CashFlow!Q4*CashFlow!Q7,Q4*CashFlow!$J$13)</f>
        <v>253450.94690732184</v>
      </c>
      <c r="R8" s="4">
        <f>IF(R3&lt;='Assumptions '!$G$7,CashFlow!R4*CashFlow!R7,R4*CashFlow!$J$13)</f>
        <v>257306.2570856305</v>
      </c>
      <c r="S8" s="4">
        <f>IF(S3&lt;='Assumptions '!$G$7,CashFlow!S4*CashFlow!S7,S4*CashFlow!$J$13)</f>
        <v>261225.96922628069</v>
      </c>
      <c r="T8" s="4">
        <f>IF(T3&lt;='Assumptions '!$G$7,CashFlow!T4*CashFlow!T7,T4*CashFlow!$J$13)</f>
        <v>265211.18401261658</v>
      </c>
      <c r="U8" s="4">
        <f>IF(U3&lt;='Assumptions '!$G$7,CashFlow!U4*CashFlow!U7,U4*CashFlow!$J$13)</f>
        <v>269263.02154614264</v>
      </c>
      <c r="V8" s="4">
        <f>IF(V3&lt;='Assumptions '!$G$7,CashFlow!V4*CashFlow!V7,V4*CashFlow!$J$13)</f>
        <v>273382.62169145694</v>
      </c>
      <c r="W8" s="4">
        <f>IF(W3&lt;='Assumptions '!$G$7,CashFlow!W4*CashFlow!W7,W4*CashFlow!$J$13)</f>
        <v>277571.14442746365</v>
      </c>
      <c r="X8" s="4">
        <f>IF(X3&lt;='Assumptions '!$G$7,CashFlow!X4*CashFlow!X7,X4*CashFlow!$J$13)</f>
        <v>281829.77020498086</v>
      </c>
      <c r="Y8" s="4">
        <f>IF(Y3&lt;='Assumptions '!$G$7,CashFlow!Y4*CashFlow!Y7,Y4*CashFlow!$J$13)</f>
        <v>286159.70031085733</v>
      </c>
      <c r="Z8" s="4">
        <f>IF(Z3&lt;='Assumptions '!$G$7,CashFlow!Z4*CashFlow!Z7,Z4*CashFlow!$J$13)</f>
        <v>290562.15723871678</v>
      </c>
      <c r="AA8" s="4">
        <f>IF(AA3&lt;='Assumptions '!$G$7,CashFlow!AA4*CashFlow!AA7,AA4*CashFlow!$J$13)</f>
        <v>295038.38506644836</v>
      </c>
      <c r="AB8" s="4">
        <f>IF(AB3&lt;='Assumptions '!$G$7,CashFlow!AB4*CashFlow!AB7,AB4*CashFlow!$J$13)</f>
        <v>299589.64984056755</v>
      </c>
      <c r="AC8" s="4">
        <f>IF(AC3&lt;='Assumptions '!$G$7,CashFlow!AC4*'Assumptions '!$G$5,AC4*'Assumptions '!$G$8)</f>
        <v>0</v>
      </c>
      <c r="AD8" s="4">
        <f>IF(AD3&lt;='Assumptions '!$G$7,CashFlow!AD4*'Assumptions '!$G$5,AD4*'Assumptions '!$G$8)</f>
        <v>0</v>
      </c>
      <c r="AE8" s="4">
        <f>IF(AE3&lt;='Assumptions '!$G$7,CashFlow!AE4*'Assumptions '!$G$5,AE4*'Assumptions '!$G$8)</f>
        <v>0</v>
      </c>
      <c r="AF8" s="4">
        <f>IF(AF3&lt;='Assumptions '!$G$7,CashFlow!AF4*'Assumptions '!$G$5,AF4*'Assumptions '!$G$8)</f>
        <v>0</v>
      </c>
      <c r="AG8" s="4">
        <f>IF(AG3&lt;='Assumptions '!$G$7,CashFlow!AG4*'Assumptions '!$G$5,AG4*'Assumptions '!$G$8)</f>
        <v>0</v>
      </c>
      <c r="AH8" s="4"/>
      <c r="AI8" s="4"/>
      <c r="AJ8" s="4"/>
      <c r="AK8" s="4"/>
      <c r="AL8" s="4"/>
      <c r="AM8" s="4"/>
      <c r="AN8" s="4"/>
    </row>
    <row r="9" spans="1:40">
      <c r="A9" s="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</row>
    <row r="10" spans="1:40">
      <c r="A10" s="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</row>
    <row r="11" spans="1:40">
      <c r="A11" s="8" t="s">
        <v>63</v>
      </c>
      <c r="B11" s="4"/>
      <c r="C11" s="4">
        <f>SUM(C8:C10)</f>
        <v>775912.5</v>
      </c>
      <c r="D11" s="4">
        <f>SUM(D8:D10)</f>
        <v>207681.375</v>
      </c>
      <c r="E11" s="4">
        <f t="shared" ref="E11:AG11" si="0">SUM(E8:E10)</f>
        <v>211835.0025</v>
      </c>
      <c r="F11" s="4">
        <f t="shared" si="0"/>
        <v>214996.71895522389</v>
      </c>
      <c r="G11" s="4">
        <f t="shared" si="0"/>
        <v>218211.02633762374</v>
      </c>
      <c r="H11" s="4">
        <f t="shared" si="0"/>
        <v>221478.81707686698</v>
      </c>
      <c r="I11" s="4">
        <f t="shared" si="0"/>
        <v>224800.99933301995</v>
      </c>
      <c r="J11" s="4">
        <f t="shared" si="0"/>
        <v>228178.49727421848</v>
      </c>
      <c r="K11" s="4">
        <f t="shared" si="0"/>
        <v>231612.25135941306</v>
      </c>
      <c r="L11" s="4">
        <f t="shared" si="0"/>
        <v>235103.21862627956</v>
      </c>
      <c r="M11" s="4">
        <f t="shared" si="0"/>
        <v>238652.37298438782</v>
      </c>
      <c r="N11" s="4">
        <f t="shared" si="0"/>
        <v>242260.70551372119</v>
      </c>
      <c r="O11" s="4">
        <f t="shared" si="0"/>
        <v>245929.22476864321</v>
      </c>
      <c r="P11" s="4">
        <f t="shared" si="0"/>
        <v>249658.95708740936</v>
      </c>
      <c r="Q11" s="4">
        <f t="shared" si="0"/>
        <v>253450.94690732184</v>
      </c>
      <c r="R11" s="4">
        <f t="shared" si="0"/>
        <v>257306.2570856305</v>
      </c>
      <c r="S11" s="4">
        <f t="shared" si="0"/>
        <v>261225.96922628069</v>
      </c>
      <c r="T11" s="4">
        <f t="shared" si="0"/>
        <v>265211.18401261658</v>
      </c>
      <c r="U11" s="4">
        <f t="shared" si="0"/>
        <v>269263.02154614264</v>
      </c>
      <c r="V11" s="4">
        <f t="shared" si="0"/>
        <v>273382.62169145694</v>
      </c>
      <c r="W11" s="4">
        <f t="shared" si="0"/>
        <v>277571.14442746365</v>
      </c>
      <c r="X11" s="4">
        <f t="shared" si="0"/>
        <v>281829.77020498086</v>
      </c>
      <c r="Y11" s="4">
        <f t="shared" si="0"/>
        <v>286159.70031085733</v>
      </c>
      <c r="Z11" s="4">
        <f t="shared" si="0"/>
        <v>290562.15723871678</v>
      </c>
      <c r="AA11" s="4">
        <f t="shared" si="0"/>
        <v>295038.38506644836</v>
      </c>
      <c r="AB11" s="4">
        <f t="shared" si="0"/>
        <v>299589.64984056755</v>
      </c>
      <c r="AC11" s="4">
        <f t="shared" si="0"/>
        <v>0</v>
      </c>
      <c r="AD11" s="4">
        <f t="shared" si="0"/>
        <v>0</v>
      </c>
      <c r="AE11" s="4">
        <f t="shared" si="0"/>
        <v>0</v>
      </c>
      <c r="AF11" s="4">
        <f t="shared" si="0"/>
        <v>0</v>
      </c>
      <c r="AG11" s="4">
        <f t="shared" si="0"/>
        <v>0</v>
      </c>
      <c r="AH11" s="4"/>
      <c r="AI11" s="4"/>
      <c r="AJ11" s="4"/>
      <c r="AK11" s="4"/>
      <c r="AL11" s="4"/>
      <c r="AM11" s="4"/>
      <c r="AN11" s="4"/>
    </row>
    <row r="12" spans="1:40">
      <c r="A12" s="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</row>
    <row r="13" spans="1:40">
      <c r="A13" s="8" t="s">
        <v>64</v>
      </c>
      <c r="B13" s="4">
        <f>SUM(D13:AG13)</f>
        <v>-676479.93015475501</v>
      </c>
      <c r="C13" s="4"/>
      <c r="D13" s="4">
        <f>-'Assumptions '!G23</f>
        <v>-21120</v>
      </c>
      <c r="E13" s="4">
        <f>IF(E3&lt;='Assumptions '!$C$11,CashFlow!D13*(1+'Assumptions '!$G$24),0)</f>
        <v>-21542.400000000001</v>
      </c>
      <c r="F13" s="4">
        <f>IF(F3&lt;='Assumptions '!$C$11,CashFlow!E13*(1+'Assumptions '!$G$24),0)</f>
        <v>-21973.248000000003</v>
      </c>
      <c r="G13" s="4">
        <f>IF(G3&lt;='Assumptions '!$C$11,CashFlow!F13*(1+'Assumptions '!$G$24),0)</f>
        <v>-22412.712960000004</v>
      </c>
      <c r="H13" s="4">
        <f>IF(H3&lt;='Assumptions '!$C$11,CashFlow!G13*(1+'Assumptions '!$G$24),0)</f>
        <v>-22860.967219200003</v>
      </c>
      <c r="I13" s="4">
        <f>IF(I3&lt;='Assumptions '!$C$11,CashFlow!H13*(1+'Assumptions '!$G$24),0)</f>
        <v>-23318.186563584004</v>
      </c>
      <c r="J13" s="4">
        <f>IF(J3&lt;='Assumptions '!$C$11,CashFlow!I13*(1+'Assumptions '!$G$24),0)</f>
        <v>-23784.550294855686</v>
      </c>
      <c r="K13" s="4">
        <f>IF(K3&lt;='Assumptions '!$C$11,CashFlow!J13*(1+'Assumptions '!$G$24),0)</f>
        <v>-24260.241300752801</v>
      </c>
      <c r="L13" s="4">
        <f>IF(L3&lt;='Assumptions '!$C$11,CashFlow!K13*(1+'Assumptions '!$G$24),0)</f>
        <v>-24745.446126767856</v>
      </c>
      <c r="M13" s="4">
        <f>IF(M3&lt;='Assumptions '!$C$11,CashFlow!L13*(1+'Assumptions '!$G$24),0)</f>
        <v>-25240.355049303213</v>
      </c>
      <c r="N13" s="4">
        <f>IF(N3&lt;='Assumptions '!$C$11,CashFlow!M13*(1+'Assumptions '!$G$24),0)</f>
        <v>-25745.162150289278</v>
      </c>
      <c r="O13" s="4">
        <f>IF(O3&lt;='Assumptions '!$C$11,CashFlow!N13*(1+'Assumptions '!$G$24),0)</f>
        <v>-26260.065393295063</v>
      </c>
      <c r="P13" s="4">
        <f>IF(P3&lt;='Assumptions '!$C$11,CashFlow!O13*(1+'Assumptions '!$G$24),0)</f>
        <v>-26785.266701160963</v>
      </c>
      <c r="Q13" s="4">
        <f>IF(Q3&lt;='Assumptions '!$C$11,CashFlow!P13*(1+'Assumptions '!$G$24),0)</f>
        <v>-27320.972035184182</v>
      </c>
      <c r="R13" s="4">
        <f>IF(R3&lt;='Assumptions '!$C$11,CashFlow!Q13*(1+'Assumptions '!$G$24),0)</f>
        <v>-27867.391475887867</v>
      </c>
      <c r="S13" s="4">
        <f>IF(S3&lt;='Assumptions '!$C$11,CashFlow!R13*(1+'Assumptions '!$G$24),0)</f>
        <v>-28424.739305405627</v>
      </c>
      <c r="T13" s="4">
        <f>IF(T3&lt;='Assumptions '!$C$11,CashFlow!S13*(1+'Assumptions '!$G$24),0)</f>
        <v>-28993.234091513739</v>
      </c>
      <c r="U13" s="4">
        <f>IF(U3&lt;='Assumptions '!$C$11,CashFlow!T13*(1+'Assumptions '!$G$24),0)</f>
        <v>-29573.098773344016</v>
      </c>
      <c r="V13" s="4">
        <f>IF(V3&lt;='Assumptions '!$C$11,CashFlow!U13*(1+'Assumptions '!$G$24),0)</f>
        <v>-30164.560748810898</v>
      </c>
      <c r="W13" s="4">
        <f>IF(W3&lt;='Assumptions '!$C$11,CashFlow!V13*(1+'Assumptions '!$G$24),0)</f>
        <v>-30767.851963787118</v>
      </c>
      <c r="X13" s="4">
        <f>IF(X3&lt;='Assumptions '!$C$11,CashFlow!W13*(1+'Assumptions '!$G$24),0)</f>
        <v>-31383.209003062861</v>
      </c>
      <c r="Y13" s="4">
        <f>IF(Y3&lt;='Assumptions '!$C$11,CashFlow!X13*(1+'Assumptions '!$G$24),0)</f>
        <v>-32010.873183124117</v>
      </c>
      <c r="Z13" s="4">
        <f>IF(Z3&lt;='Assumptions '!$C$11,CashFlow!Y13*(1+'Assumptions '!$G$24),0)</f>
        <v>-32651.090646786601</v>
      </c>
      <c r="AA13" s="4">
        <f>IF(AA3&lt;='Assumptions '!$C$11,CashFlow!Z13*(1+'Assumptions '!$G$24),0)</f>
        <v>-33304.112459722332</v>
      </c>
      <c r="AB13" s="4">
        <f>IF(AB3&lt;='Assumptions '!$C$11,CashFlow!AA13*(1+'Assumptions '!$G$24),0)</f>
        <v>-33970.194708916781</v>
      </c>
      <c r="AC13" s="4">
        <f>IF(AC3&lt;='Assumptions '!$C$11,CashFlow!AB13*(1+'Assumptions '!$G$24),0)</f>
        <v>0</v>
      </c>
      <c r="AD13" s="4">
        <f>IF(AD3&lt;='Assumptions '!$C$11,CashFlow!AC13*(1+'Assumptions '!$G$24),0)</f>
        <v>0</v>
      </c>
      <c r="AE13" s="4">
        <f>IF(AE3&lt;='Assumptions '!$C$11,CashFlow!AD13*(1+'Assumptions '!$G$24),0)</f>
        <v>0</v>
      </c>
      <c r="AF13" s="4">
        <f>IF(AF3&lt;='Assumptions '!$C$11,CashFlow!AE13*(1+'Assumptions '!$G$24),0)</f>
        <v>0</v>
      </c>
      <c r="AG13" s="4">
        <f>IF(AG3&lt;='Assumptions '!$C$11,CashFlow!AF13*(1+'Assumptions '!$G$24),0)</f>
        <v>0</v>
      </c>
      <c r="AH13" s="4"/>
      <c r="AI13" s="4"/>
      <c r="AJ13" s="4"/>
      <c r="AK13" s="4"/>
      <c r="AL13" s="4"/>
      <c r="AM13" s="4"/>
      <c r="AN13" s="4"/>
    </row>
    <row r="14" spans="1:40">
      <c r="A14" s="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</row>
    <row r="15" spans="1:40">
      <c r="A15" s="8" t="s">
        <v>65</v>
      </c>
      <c r="B15" s="4"/>
      <c r="C15" s="4">
        <f t="shared" ref="C15:AG15" si="1">C11+C13</f>
        <v>775912.5</v>
      </c>
      <c r="D15" s="4">
        <f t="shared" si="1"/>
        <v>186561.375</v>
      </c>
      <c r="E15" s="4">
        <f t="shared" si="1"/>
        <v>190292.60250000001</v>
      </c>
      <c r="F15" s="4">
        <f t="shared" si="1"/>
        <v>193023.47095522389</v>
      </c>
      <c r="G15" s="4">
        <f t="shared" si="1"/>
        <v>195798.31337762374</v>
      </c>
      <c r="H15" s="4">
        <f t="shared" si="1"/>
        <v>198617.84985766697</v>
      </c>
      <c r="I15" s="4">
        <f t="shared" si="1"/>
        <v>201482.81276943596</v>
      </c>
      <c r="J15" s="4">
        <f t="shared" si="1"/>
        <v>204393.94697936278</v>
      </c>
      <c r="K15" s="4">
        <f t="shared" si="1"/>
        <v>207352.01005866026</v>
      </c>
      <c r="L15" s="4">
        <f t="shared" si="1"/>
        <v>210357.77249951172</v>
      </c>
      <c r="M15" s="4">
        <f t="shared" si="1"/>
        <v>213412.01793508462</v>
      </c>
      <c r="N15" s="4">
        <f t="shared" si="1"/>
        <v>216515.54336343191</v>
      </c>
      <c r="O15" s="4">
        <f t="shared" si="1"/>
        <v>219669.15937534816</v>
      </c>
      <c r="P15" s="4">
        <f t="shared" si="1"/>
        <v>222873.6903862484</v>
      </c>
      <c r="Q15" s="4">
        <f t="shared" si="1"/>
        <v>226129.97487213765</v>
      </c>
      <c r="R15" s="4">
        <f t="shared" si="1"/>
        <v>229438.86560974264</v>
      </c>
      <c r="S15" s="4">
        <f t="shared" si="1"/>
        <v>232801.22992087508</v>
      </c>
      <c r="T15" s="4">
        <f t="shared" si="1"/>
        <v>236217.94992110285</v>
      </c>
      <c r="U15" s="4">
        <f t="shared" si="1"/>
        <v>239689.92277279863</v>
      </c>
      <c r="V15" s="4">
        <f t="shared" si="1"/>
        <v>243218.06094264603</v>
      </c>
      <c r="W15" s="4">
        <f t="shared" si="1"/>
        <v>246803.29246367654</v>
      </c>
      <c r="X15" s="4">
        <f t="shared" si="1"/>
        <v>250446.561201918</v>
      </c>
      <c r="Y15" s="4">
        <f t="shared" si="1"/>
        <v>254148.82712773321</v>
      </c>
      <c r="Z15" s="4">
        <f t="shared" si="1"/>
        <v>257911.06659193017</v>
      </c>
      <c r="AA15" s="4">
        <f t="shared" si="1"/>
        <v>261734.27260672604</v>
      </c>
      <c r="AB15" s="4">
        <f t="shared" si="1"/>
        <v>265619.45513165079</v>
      </c>
      <c r="AC15" s="4">
        <f t="shared" si="1"/>
        <v>0</v>
      </c>
      <c r="AD15" s="4">
        <f t="shared" si="1"/>
        <v>0</v>
      </c>
      <c r="AE15" s="4">
        <f t="shared" si="1"/>
        <v>0</v>
      </c>
      <c r="AF15" s="4">
        <f t="shared" si="1"/>
        <v>0</v>
      </c>
      <c r="AG15" s="4">
        <f t="shared" si="1"/>
        <v>0</v>
      </c>
      <c r="AH15" s="4"/>
      <c r="AI15" s="4"/>
      <c r="AJ15" s="4"/>
      <c r="AK15" s="4"/>
      <c r="AL15" s="4"/>
      <c r="AM15" s="4"/>
      <c r="AN15" s="4"/>
    </row>
    <row r="16" spans="1:40">
      <c r="A16" s="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</row>
    <row r="17" spans="1:40">
      <c r="A17" s="8" t="s">
        <v>66</v>
      </c>
      <c r="B17" s="4">
        <f>SUM(D17:AG17)</f>
        <v>-2903139.4570999322</v>
      </c>
      <c r="C17" s="4"/>
      <c r="D17" s="4">
        <f>IF('Assumptions '!$K$4="YES",IF(D3&lt;='Assumptions '!$K$7,PMT('Assumptions '!$K$8,'Assumptions '!$K$7,'Assumptions '!$K$6,0,1),0),0)</f>
        <v>-145156.97285499665</v>
      </c>
      <c r="E17" s="4">
        <f>IF('Assumptions '!$K$4="YES",IF(E3&lt;='Assumptions '!$K$7,PMT('Assumptions '!$K$8,'Assumptions '!$K$7,'Assumptions '!$K$6,0,1),0),0)</f>
        <v>-145156.97285499665</v>
      </c>
      <c r="F17" s="4">
        <f>IF('Assumptions '!$K$4="YES",IF(F3&lt;='Assumptions '!$K$7,PMT('Assumptions '!$K$8,'Assumptions '!$K$7,'Assumptions '!$K$6,0,1),0),0)</f>
        <v>-145156.97285499665</v>
      </c>
      <c r="G17" s="4">
        <f>IF('Assumptions '!$K$4="YES",IF(G3&lt;='Assumptions '!$K$7,PMT('Assumptions '!$K$8,'Assumptions '!$K$7,'Assumptions '!$K$6,0,1),0),0)</f>
        <v>-145156.97285499665</v>
      </c>
      <c r="H17" s="4">
        <f>IF('Assumptions '!$K$4="YES",IF(H3&lt;='Assumptions '!$K$7,PMT('Assumptions '!$K$8,'Assumptions '!$K$7,'Assumptions '!$K$6,0,1),0),0)</f>
        <v>-145156.97285499665</v>
      </c>
      <c r="I17" s="4">
        <f>IF('Assumptions '!$K$4="YES",IF(I3&lt;='Assumptions '!$K$7,PMT('Assumptions '!$K$8,'Assumptions '!$K$7,'Assumptions '!$K$6,0,1),0),0)</f>
        <v>-145156.97285499665</v>
      </c>
      <c r="J17" s="4">
        <f>IF('Assumptions '!$K$4="YES",IF(J3&lt;='Assumptions '!$K$7,PMT('Assumptions '!$K$8,'Assumptions '!$K$7,'Assumptions '!$K$6,0,1),0),0)</f>
        <v>-145156.97285499665</v>
      </c>
      <c r="K17" s="4">
        <f>IF('Assumptions '!$K$4="YES",IF(K3&lt;='Assumptions '!$K$7,PMT('Assumptions '!$K$8,'Assumptions '!$K$7,'Assumptions '!$K$6,0,1),0),0)</f>
        <v>-145156.97285499665</v>
      </c>
      <c r="L17" s="4">
        <f>IF('Assumptions '!$K$4="YES",IF(L3&lt;='Assumptions '!$K$7,PMT('Assumptions '!$K$8,'Assumptions '!$K$7,'Assumptions '!$K$6,0,1),0),0)</f>
        <v>-145156.97285499665</v>
      </c>
      <c r="M17" s="4">
        <f>IF('Assumptions '!$K$4="YES",IF(M3&lt;='Assumptions '!$K$7,PMT('Assumptions '!$K$8,'Assumptions '!$K$7,'Assumptions '!$K$6,0,1),0),0)</f>
        <v>-145156.97285499665</v>
      </c>
      <c r="N17" s="4">
        <f>IF('Assumptions '!$K$4="YES",IF(N3&lt;='Assumptions '!$K$7,PMT('Assumptions '!$K$8,'Assumptions '!$K$7,'Assumptions '!$K$6,0,1),0),0)</f>
        <v>-145156.97285499665</v>
      </c>
      <c r="O17" s="4">
        <f>IF('Assumptions '!$K$4="YES",IF(O3&lt;='Assumptions '!$K$7,PMT('Assumptions '!$K$8,'Assumptions '!$K$7,'Assumptions '!$K$6,0,1),0),0)</f>
        <v>-145156.97285499665</v>
      </c>
      <c r="P17" s="4">
        <f>IF('Assumptions '!$K$4="YES",IF(P3&lt;='Assumptions '!$K$7,PMT('Assumptions '!$K$8,'Assumptions '!$K$7,'Assumptions '!$K$6,0,1),0),0)</f>
        <v>-145156.97285499665</v>
      </c>
      <c r="Q17" s="4">
        <f>IF('Assumptions '!$K$4="YES",IF(Q3&lt;='Assumptions '!$K$7,PMT('Assumptions '!$K$8,'Assumptions '!$K$7,'Assumptions '!$K$6,0,1),0),0)</f>
        <v>-145156.97285499665</v>
      </c>
      <c r="R17" s="4">
        <f>IF('Assumptions '!$K$4="YES",IF(R3&lt;='Assumptions '!$K$7,PMT('Assumptions '!$K$8,'Assumptions '!$K$7,'Assumptions '!$K$6,0,1),0),0)</f>
        <v>-145156.97285499665</v>
      </c>
      <c r="S17" s="4">
        <f>IF('Assumptions '!$K$4="YES",IF(S3&lt;='Assumptions '!$K$7,PMT('Assumptions '!$K$8,'Assumptions '!$K$7,'Assumptions '!$K$6,0,1),0),0)</f>
        <v>-145156.97285499665</v>
      </c>
      <c r="T17" s="4">
        <f>IF('Assumptions '!$K$4="YES",IF(T3&lt;='Assumptions '!$K$7,PMT('Assumptions '!$K$8,'Assumptions '!$K$7,'Assumptions '!$K$6,0,1),0),0)</f>
        <v>-145156.97285499665</v>
      </c>
      <c r="U17" s="4">
        <f>IF('Assumptions '!$K$4="YES",IF(U3&lt;='Assumptions '!$K$7,PMT('Assumptions '!$K$8,'Assumptions '!$K$7,'Assumptions '!$K$6,0,1),0),0)</f>
        <v>-145156.97285499665</v>
      </c>
      <c r="V17" s="4">
        <f>IF('Assumptions '!$K$4="YES",IF(V3&lt;='Assumptions '!$K$7,PMT('Assumptions '!$K$8,'Assumptions '!$K$7,'Assumptions '!$K$6,0,1),0),0)</f>
        <v>-145156.97285499665</v>
      </c>
      <c r="W17" s="4">
        <f>IF('Assumptions '!$K$4="YES",IF(W3&lt;='Assumptions '!$K$7,PMT('Assumptions '!$K$8,'Assumptions '!$K$7,'Assumptions '!$K$6,0,1),0),0)</f>
        <v>-145156.97285499665</v>
      </c>
      <c r="X17" s="4">
        <f>IF('Assumptions '!$K$4="YES",IF(X3&lt;='Assumptions '!$K$7,PMT('Assumptions '!$K$8,'Assumptions '!$K$7,'Assumptions '!$K$6,0,1),0),0)</f>
        <v>0</v>
      </c>
      <c r="Y17" s="4">
        <f>IF('Assumptions '!$K$4="YES",IF(Y3&lt;='Assumptions '!$K$7,PMT('Assumptions '!$K$8,'Assumptions '!$K$7,'Assumptions '!$K$6,0,1),0),0)</f>
        <v>0</v>
      </c>
      <c r="Z17" s="4">
        <f>IF('Assumptions '!$K$4="YES",IF(Z3&lt;='Assumptions '!$K$7,PMT('Assumptions '!$K$8,'Assumptions '!$K$7,'Assumptions '!$K$6,0,1),0),0)</f>
        <v>0</v>
      </c>
      <c r="AA17" s="4">
        <f>IF('Assumptions '!$K$4="YES",IF(AA3&lt;='Assumptions '!$K$7,PMT('Assumptions '!$K$8,'Assumptions '!$K$7,'Assumptions '!$K$6,0,1),0),0)</f>
        <v>0</v>
      </c>
      <c r="AB17" s="4">
        <f>IF('Assumptions '!$K$4="YES",IF(AB3&lt;='Assumptions '!$K$7,PMT('Assumptions '!$K$8,'Assumptions '!$K$7,'Assumptions '!$K$6,0,1),0),0)</f>
        <v>0</v>
      </c>
      <c r="AC17" s="4">
        <f>IF('Assumptions '!$K$4="YES",IF(AC3&lt;='Assumptions '!$K$7,PMT('Assumptions '!$K$8,'Assumptions '!$K$7,'Assumptions '!$K$6,0,1),0),0)</f>
        <v>0</v>
      </c>
      <c r="AD17" s="4">
        <f>IF('Assumptions '!$K$4="YES",IF(AD3&lt;='Assumptions '!$K$7,PMT('Assumptions '!$K$8,'Assumptions '!$K$7,'Assumptions '!$K$6,0,1),0),0)</f>
        <v>0</v>
      </c>
      <c r="AE17" s="4">
        <f>IF('Assumptions '!$K$4="YES",IF(AE3&lt;='Assumptions '!$K$7,PMT('Assumptions '!$K$8,'Assumptions '!$K$7,'Assumptions '!$K$6,0,1),0),0)</f>
        <v>0</v>
      </c>
      <c r="AF17" s="4">
        <f>IF('Assumptions '!$K$4="YES",IF(AF3&lt;='Assumptions '!$K$7,PMT('Assumptions '!$K$8,'Assumptions '!$K$7,'Assumptions '!$K$6,0,1),0),0)</f>
        <v>0</v>
      </c>
      <c r="AG17" s="4">
        <f>IF('Assumptions '!$K$4="YES",IF(AG3&lt;='Assumptions '!$K$7,PMT('Assumptions '!$K$8,'Assumptions '!$K$7,'Assumptions '!$K$6,0,1),0),0)</f>
        <v>0</v>
      </c>
      <c r="AH17" s="4"/>
      <c r="AI17" s="4"/>
      <c r="AJ17" s="4"/>
      <c r="AK17" s="4"/>
      <c r="AL17" s="4"/>
      <c r="AM17" s="4"/>
      <c r="AN17" s="4"/>
    </row>
    <row r="18" spans="1:40">
      <c r="A18" s="8" t="s">
        <v>67</v>
      </c>
      <c r="B18" s="4"/>
      <c r="C18" s="4"/>
      <c r="D18" s="3">
        <f>IF('Assumptions '!$K$4="YES",IF(D3&lt;='Assumptions '!$K$7,ABS(D15/D17),0),0)</f>
        <v>1.2852388096186322</v>
      </c>
      <c r="E18" s="3">
        <f>IF('Assumptions '!$K$4="YES",IF(E3&lt;='Assumptions '!$K$7,ABS(E15/E17),0),0)</f>
        <v>1.3109435858110048</v>
      </c>
      <c r="F18" s="3">
        <f>IF('Assumptions '!$K$4="YES",IF(F3&lt;='Assumptions '!$K$7,ABS(F15/F17),0),0)</f>
        <v>1.3297567947221045</v>
      </c>
      <c r="G18" s="3">
        <f>IF('Assumptions '!$K$4="YES",IF(G3&lt;='Assumptions '!$K$7,ABS(G15/G17),0),0)</f>
        <v>1.348872944417316</v>
      </c>
      <c r="H18" s="3">
        <f>IF('Assumptions '!$K$4="YES",IF(H3&lt;='Assumptions '!$K$7,ABS(H15/H17),0),0)</f>
        <v>1.3682969956674049</v>
      </c>
      <c r="I18" s="3">
        <f>IF('Assumptions '!$K$4="YES",IF(I3&lt;='Assumptions '!$K$7,ABS(I15/I17),0),0)</f>
        <v>1.388033993866113</v>
      </c>
      <c r="J18" s="3">
        <f>IF('Assumptions '!$K$4="YES",IF(J3&lt;='Assumptions '!$K$7,ABS(J15/J17),0),0)</f>
        <v>1.4080890704681504</v>
      </c>
      <c r="K18" s="3">
        <f>IF('Assumptions '!$K$4="YES",IF(K3&lt;='Assumptions '!$K$7,ABS(K15/K17),0),0)</f>
        <v>1.4284674444526535</v>
      </c>
      <c r="L18" s="3">
        <f>IF('Assumptions '!$K$4="YES",IF(L3&lt;='Assumptions '!$K$7,ABS(L15/L17),0),0)</f>
        <v>1.4491744238125361</v>
      </c>
      <c r="M18" s="3">
        <f>IF('Assumptions '!$K$4="YES",IF(M3&lt;='Assumptions '!$K$7,ABS(M15/M17),0),0)</f>
        <v>1.4702154070701845</v>
      </c>
      <c r="N18" s="3">
        <f>IF('Assumptions '!$K$4="YES",IF(N3&lt;='Assumptions '!$K$7,ABS(N15/N17),0),0)</f>
        <v>1.4915958848199342</v>
      </c>
      <c r="O18" s="3">
        <f>IF('Assumptions '!$K$4="YES",IF(O3&lt;='Assumptions '!$K$7,ABS(O15/O17),0),0)</f>
        <v>1.5133214412977931</v>
      </c>
      <c r="P18" s="3">
        <f>IF('Assumptions '!$K$4="YES",IF(P3&lt;='Assumptions '!$K$7,ABS(P15/P17),0),0)</f>
        <v>1.5353977559788754</v>
      </c>
      <c r="Q18" s="3">
        <f>IF('Assumptions '!$K$4="YES",IF(Q3&lt;='Assumptions '!$K$7,ABS(Q15/Q17),0),0)</f>
        <v>1.5578306052030191</v>
      </c>
      <c r="R18" s="3">
        <f>IF('Assumptions '!$K$4="YES",IF(R3&lt;='Assumptions '!$K$7,ABS(R15/R17),0),0)</f>
        <v>1.5806258638290747</v>
      </c>
      <c r="S18" s="3">
        <f>IF('Assumptions '!$K$4="YES",IF(S3&lt;='Assumptions '!$K$7,ABS(S15/S17),0),0)</f>
        <v>1.6037895069183479</v>
      </c>
      <c r="T18" s="3">
        <f>IF('Assumptions '!$K$4="YES",IF(T3&lt;='Assumptions '!$K$7,ABS(T15/T17),0),0)</f>
        <v>1.6273276114477173</v>
      </c>
      <c r="U18" s="3">
        <f>IF('Assumptions '!$K$4="YES",IF(U3&lt;='Assumptions '!$K$7,ABS(U15/U17),0),0)</f>
        <v>1.651246358052912</v>
      </c>
      <c r="V18" s="3">
        <f>IF('Assumptions '!$K$4="YES",IF(V3&lt;='Assumptions '!$K$7,ABS(V15/V17),0),0)</f>
        <v>1.6755520328024935</v>
      </c>
      <c r="W18" s="3">
        <f>IF('Assumptions '!$K$4="YES",IF(W3&lt;='Assumptions '!$K$7,ABS(W15/W17),0),0)</f>
        <v>1.7002510290030548</v>
      </c>
      <c r="X18" s="3">
        <f>IF('Assumptions '!$K$4="YES",IF(X3&lt;='Assumptions '!$K$7,ABS(X15/X17),0),0)</f>
        <v>0</v>
      </c>
      <c r="Y18" s="3">
        <f>IF('Assumptions '!$K$4="YES",IF(Y3&lt;='Assumptions '!$K$7,ABS(Y15/Y17),0),0)</f>
        <v>0</v>
      </c>
      <c r="Z18" s="3">
        <f>IF('Assumptions '!$K$4="YES",IF(Z3&lt;='Assumptions '!$K$7,ABS(Z15/Z17),0),0)</f>
        <v>0</v>
      </c>
      <c r="AA18" s="3">
        <f>IF('Assumptions '!$K$4="YES",IF(AA3&lt;='Assumptions '!$K$7,ABS(AA15/AA17),0),0)</f>
        <v>0</v>
      </c>
      <c r="AB18" s="3">
        <f>IF('Assumptions '!$K$4="YES",IF(AB3&lt;='Assumptions '!$K$7,ABS(AB15/AB17),0),0)</f>
        <v>0</v>
      </c>
      <c r="AC18" s="3">
        <f>IF('Assumptions '!$K$4="YES",IF(AC3&lt;='Assumptions '!$K$7,ABS(AC15/AC17),0),0)</f>
        <v>0</v>
      </c>
      <c r="AD18" s="3">
        <f>IF('Assumptions '!$K$4="YES",IF(AD3&lt;='Assumptions '!$K$7,ABS(AD15/AD17),0),0)</f>
        <v>0</v>
      </c>
      <c r="AE18" s="3">
        <f>IF('Assumptions '!$K$4="YES",IF(AE3&lt;='Assumptions '!$K$7,ABS(AE15/AE17),0),0)</f>
        <v>0</v>
      </c>
      <c r="AF18" s="3">
        <f>IF('Assumptions '!$K$4="YES",IF(AF3&lt;='Assumptions '!$K$7,ABS(AF15/AF17),0),0)</f>
        <v>0</v>
      </c>
      <c r="AG18" s="3">
        <f>IF('Assumptions '!$K$4="YES",IF(AG3&lt;='Assumptions '!$K$7,ABS(AG15/AG17),0),0)</f>
        <v>0</v>
      </c>
      <c r="AH18" s="4"/>
      <c r="AI18" s="4"/>
      <c r="AJ18" s="4"/>
      <c r="AK18" s="4"/>
      <c r="AL18" s="4"/>
      <c r="AM18" s="4"/>
      <c r="AN18" s="4"/>
    </row>
    <row r="19" spans="1:40">
      <c r="A19" s="8" t="s">
        <v>68</v>
      </c>
      <c r="B19" s="4"/>
      <c r="C19" s="4"/>
      <c r="D19" s="4" t="str">
        <f>IF('Assumptions '!$K$4="YES",IF(D18&lt;'Assumptions '!$K$11,"Fail","Pass"),0)</f>
        <v>Pass</v>
      </c>
      <c r="E19" s="4" t="str">
        <f>IF('Assumptions '!$K$4="YES",IF(E18&lt;'Assumptions '!$K$11,"Fail","Pass"),0)</f>
        <v>Pass</v>
      </c>
      <c r="F19" s="4" t="str">
        <f>IF('Assumptions '!$K$4="YES",IF(F18&lt;'Assumptions '!$K$11,"Fail","Pass"),0)</f>
        <v>Pass</v>
      </c>
      <c r="G19" s="4" t="str">
        <f>IF('Assumptions '!$K$4="YES",IF(G18&lt;'Assumptions '!$K$11,"Fail","Pass"),0)</f>
        <v>Pass</v>
      </c>
      <c r="H19" s="4" t="str">
        <f>IF('Assumptions '!$K$4="YES",IF(H18&lt;'Assumptions '!$K$11,"Fail","Pass"),0)</f>
        <v>Pass</v>
      </c>
      <c r="I19" s="4" t="str">
        <f>IF('Assumptions '!$K$4="YES",IF(I18&lt;'Assumptions '!$K$11,"Fail","Pass"),0)</f>
        <v>Pass</v>
      </c>
      <c r="J19" s="4" t="str">
        <f>IF('Assumptions '!$K$4="YES",IF(J18&lt;'Assumptions '!$K$11,"Fail","Pass"),0)</f>
        <v>Pass</v>
      </c>
      <c r="K19" s="4" t="str">
        <f>IF('Assumptions '!$K$4="YES",IF(K18&lt;'Assumptions '!$K$11,"Fail","Pass"),0)</f>
        <v>Pass</v>
      </c>
      <c r="L19" s="4" t="str">
        <f>IF('Assumptions '!$K$4="YES",IF(L18&lt;'Assumptions '!$K$11,"Fail","Pass"),0)</f>
        <v>Pass</v>
      </c>
      <c r="M19" s="4" t="str">
        <f>IF('Assumptions '!$K$4="YES",IF(M18&lt;'Assumptions '!$K$11,"Fail","Pass"),0)</f>
        <v>Pass</v>
      </c>
      <c r="N19" s="4" t="str">
        <f>IF('Assumptions '!$K$4="YES",IF(N18&lt;'Assumptions '!$K$11,"Fail","Pass"),0)</f>
        <v>Pass</v>
      </c>
      <c r="O19" s="4" t="str">
        <f>IF('Assumptions '!$K$4="YES",IF(O18&lt;'Assumptions '!$K$11,"Fail","Pass"),0)</f>
        <v>Pass</v>
      </c>
      <c r="P19" s="4" t="str">
        <f>IF('Assumptions '!$K$4="YES",IF(P18&lt;'Assumptions '!$K$11,"Fail","Pass"),0)</f>
        <v>Pass</v>
      </c>
      <c r="Q19" s="4" t="str">
        <f>IF('Assumptions '!$K$4="YES",IF(Q18&lt;'Assumptions '!$K$11,"Fail","Pass"),0)</f>
        <v>Pass</v>
      </c>
      <c r="R19" s="4" t="str">
        <f>IF('Assumptions '!$K$4="YES",IF(R18&lt;'Assumptions '!$K$11,"Fail","Pass"),0)</f>
        <v>Pass</v>
      </c>
      <c r="S19" s="4" t="str">
        <f>IF('Assumptions '!$K$4="YES",IF(S18&lt;'Assumptions '!$K$11,"Fail","Pass"),0)</f>
        <v>Pass</v>
      </c>
      <c r="T19" s="4" t="str">
        <f>IF('Assumptions '!$K$4="YES",IF(T18&lt;'Assumptions '!$K$11,"Fail","Pass"),0)</f>
        <v>Pass</v>
      </c>
      <c r="U19" s="4" t="str">
        <f>IF('Assumptions '!$K$4="YES",IF(U18&lt;'Assumptions '!$K$11,"Fail","Pass"),0)</f>
        <v>Pass</v>
      </c>
      <c r="V19" s="4" t="str">
        <f>IF('Assumptions '!$K$4="YES",IF(V18&lt;'Assumptions '!$K$11,"Fail","Pass"),0)</f>
        <v>Pass</v>
      </c>
      <c r="W19" s="4" t="str">
        <f>IF('Assumptions '!$K$4="YES",IF(W18&lt;'Assumptions '!$K$11,"Fail","Pass"),0)</f>
        <v>Pass</v>
      </c>
      <c r="X19" s="4" t="str">
        <f>IF('Assumptions '!$K$4="YES",IF(X18&lt;'Assumptions '!$K$11,"Fail","Pass"),0)</f>
        <v>Fail</v>
      </c>
      <c r="Y19" s="4" t="str">
        <f>IF('Assumptions '!$K$4="YES",IF(Y18&lt;'Assumptions '!$K$11,"Fail","Pass"),0)</f>
        <v>Fail</v>
      </c>
      <c r="Z19" s="4" t="str">
        <f>IF('Assumptions '!$K$4="YES",IF(Z18&lt;'Assumptions '!$K$11,"Fail","Pass"),0)</f>
        <v>Fail</v>
      </c>
      <c r="AA19" s="4" t="str">
        <f>IF('Assumptions '!$K$4="YES",IF(AA18&lt;'Assumptions '!$K$11,"Fail","Pass"),0)</f>
        <v>Fail</v>
      </c>
      <c r="AB19" s="4" t="str">
        <f>IF('Assumptions '!$K$4="YES",IF(AB18&lt;'Assumptions '!$K$11,"Fail","Pass"),0)</f>
        <v>Fail</v>
      </c>
      <c r="AC19" s="4" t="str">
        <f>IF('Assumptions '!$K$4="YES",IF(AC18&lt;'Assumptions '!$K$11,"Fail","Pass"),0)</f>
        <v>Fail</v>
      </c>
      <c r="AD19" s="4" t="str">
        <f>IF('Assumptions '!$K$4="YES",IF(AD18&lt;'Assumptions '!$K$11,"Fail","Pass"),0)</f>
        <v>Fail</v>
      </c>
      <c r="AE19" s="4" t="str">
        <f>IF('Assumptions '!$K$4="YES",IF(AE18&lt;'Assumptions '!$K$11,"Fail","Pass"),0)</f>
        <v>Fail</v>
      </c>
      <c r="AF19" s="4" t="str">
        <f>IF('Assumptions '!$K$4="YES",IF(AF18&lt;'Assumptions '!$K$11,"Fail","Pass"),0)</f>
        <v>Fail</v>
      </c>
      <c r="AG19" s="4" t="str">
        <f>IF('Assumptions '!$K$4="YES",IF(AG18&lt;'Assumptions '!$K$11,"Fail","Pass"),0)</f>
        <v>Fail</v>
      </c>
      <c r="AH19" s="4"/>
      <c r="AI19" s="4"/>
      <c r="AJ19" s="4"/>
      <c r="AK19" s="4"/>
      <c r="AL19" s="4"/>
      <c r="AM19" s="4"/>
      <c r="AN19" s="4"/>
    </row>
    <row r="20" spans="1:40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1:40">
      <c r="A21" s="8" t="s">
        <v>69</v>
      </c>
      <c r="B21" s="4"/>
      <c r="C21" s="4"/>
      <c r="D21" s="4">
        <f>IF(D3&lt;'Assumptions '!$G$26,'Assumptions '!$G$30/('Assumptions '!$G$26-1),IF(CashFlow!D3='Assumptions '!$G$26,0,IF(CashFlow!D3&lt;'Assumptions '!$G$27,'Assumptions '!$G$30/('Assumptions '!$G$27-'Assumptions '!$G$26-1),0)))</f>
        <v>0</v>
      </c>
      <c r="E21" s="4">
        <f>IF(E3&lt;'Assumptions '!$G$26,'Assumptions '!$G$30/('Assumptions '!$G$26-1),IF(CashFlow!E3='Assumptions '!$G$26,0,IF(CashFlow!E3&lt;'Assumptions '!$G$27,'Assumptions '!$G$30/('Assumptions '!$G$27-'Assumptions '!$G$26-1),0)))</f>
        <v>0</v>
      </c>
      <c r="F21" s="4">
        <f>IF(F3&lt;'Assumptions '!$G$26,'Assumptions '!$G$30/('Assumptions '!$G$26-1),IF(CashFlow!F3='Assumptions '!$G$26,0,IF(CashFlow!F3&lt;'Assumptions '!$G$27,'Assumptions '!$G$30/('Assumptions '!$G$27-'Assumptions '!$G$26-1),0)))</f>
        <v>0</v>
      </c>
      <c r="G21" s="4">
        <f>IF(G3&lt;'Assumptions '!$G$26,'Assumptions '!$G$30/('Assumptions '!$G$26-1),IF(CashFlow!G3='Assumptions '!$G$26,0,IF(CashFlow!G3&lt;'Assumptions '!$G$27,'Assumptions '!$G$30/('Assumptions '!$G$27-'Assumptions '!$G$26-1),0)))</f>
        <v>0</v>
      </c>
      <c r="H21" s="4">
        <f>IF(H3&lt;'Assumptions '!$G$26,'Assumptions '!$G$30/('Assumptions '!$G$26-1),IF(CashFlow!H3='Assumptions '!$G$26,0,IF(CashFlow!H3&lt;'Assumptions '!$G$27,'Assumptions '!$G$30/('Assumptions '!$G$27-'Assumptions '!$G$26-1),0)))</f>
        <v>0</v>
      </c>
      <c r="I21" s="4">
        <f>IF(I3&lt;'Assumptions '!$G$26,'Assumptions '!$G$30/('Assumptions '!$G$26-1),IF(CashFlow!I3='Assumptions '!$G$26,0,IF(CashFlow!I3&lt;'Assumptions '!$G$27,'Assumptions '!$G$30/('Assumptions '!$G$27-'Assumptions '!$G$26-1),0)))</f>
        <v>0</v>
      </c>
      <c r="J21" s="4">
        <f>IF(J3&lt;'Assumptions '!$G$26,'Assumptions '!$G$30/('Assumptions '!$G$26-1),IF(CashFlow!J3='Assumptions '!$G$26,0,IF(CashFlow!J3&lt;'Assumptions '!$G$27,'Assumptions '!$G$30/('Assumptions '!$G$27-'Assumptions '!$G$26-1),0)))</f>
        <v>0</v>
      </c>
      <c r="K21" s="4">
        <f>IF(K3&lt;'Assumptions '!$G$26,'Assumptions '!$G$30/('Assumptions '!$G$26-1),IF(CashFlow!K3='Assumptions '!$G$26,0,IF(CashFlow!K3&lt;'Assumptions '!$G$27,'Assumptions '!$G$30/('Assumptions '!$G$27-'Assumptions '!$G$26-1),0)))</f>
        <v>0</v>
      </c>
      <c r="L21" s="4">
        <f>IF(L3&lt;'Assumptions '!$G$26,'Assumptions '!$G$30/('Assumptions '!$G$26-1),IF(CashFlow!L3='Assumptions '!$G$26,0,IF(CashFlow!L3&lt;'Assumptions '!$G$27,'Assumptions '!$G$30/('Assumptions '!$G$27-'Assumptions '!$G$26-1),0)))</f>
        <v>0</v>
      </c>
      <c r="M21" s="4">
        <f>IF(M3&lt;'Assumptions '!$G$26,'Assumptions '!$G$30/('Assumptions '!$G$26-1),IF(CashFlow!M3='Assumptions '!$G$26,0,IF(CashFlow!M3&lt;'Assumptions '!$G$27,'Assumptions '!$G$30/('Assumptions '!$G$27-'Assumptions '!$G$26-1),0)))</f>
        <v>0</v>
      </c>
      <c r="N21" s="4">
        <f>IF(N3&lt;'Assumptions '!$G$26,'Assumptions '!$G$30/('Assumptions '!$G$26-1),IF(CashFlow!N3='Assumptions '!$G$26,0,IF(CashFlow!N3&lt;'Assumptions '!$G$27,'Assumptions '!$G$30/('Assumptions '!$G$27-'Assumptions '!$G$26-1),0)))</f>
        <v>0</v>
      </c>
      <c r="O21" s="4">
        <f>IF(O3&lt;'Assumptions '!$G$26,'Assumptions '!$G$30/('Assumptions '!$G$26-1),IF(CashFlow!O3='Assumptions '!$G$26,0,IF(CashFlow!O3&lt;'Assumptions '!$G$27,'Assumptions '!$G$30/('Assumptions '!$G$27-'Assumptions '!$G$26-1),0)))</f>
        <v>0</v>
      </c>
      <c r="P21" s="4">
        <f>IF(P3&lt;'Assumptions '!$G$26,'Assumptions '!$G$30/('Assumptions '!$G$26-1),IF(CashFlow!P3='Assumptions '!$G$26,0,IF(CashFlow!P3&lt;'Assumptions '!$G$27,'Assumptions '!$G$30/('Assumptions '!$G$27-'Assumptions '!$G$26-1),0)))</f>
        <v>0</v>
      </c>
      <c r="Q21" s="4">
        <f>IF(Q3&lt;'Assumptions '!$G$26,'Assumptions '!$G$30/('Assumptions '!$G$26-1),IF(CashFlow!Q3='Assumptions '!$G$26,0,IF(CashFlow!Q3&lt;'Assumptions '!$G$27,'Assumptions '!$G$30/('Assumptions '!$G$27-'Assumptions '!$G$26-1),0)))</f>
        <v>0</v>
      </c>
      <c r="R21" s="4">
        <f>IF(R3&lt;'Assumptions '!$G$26,'Assumptions '!$G$30/('Assumptions '!$G$26-1),IF(CashFlow!R3='Assumptions '!$G$26,0,IF(CashFlow!R3&lt;'Assumptions '!$G$27,'Assumptions '!$G$30/('Assumptions '!$G$27-'Assumptions '!$G$26-1),0)))</f>
        <v>0</v>
      </c>
      <c r="S21" s="4">
        <f>IF(S3&lt;'Assumptions '!$G$26,'Assumptions '!$G$30/('Assumptions '!$G$26-1),IF(CashFlow!S3='Assumptions '!$G$26,0,IF(CashFlow!S3&lt;'Assumptions '!$G$27,'Assumptions '!$G$30/('Assumptions '!$G$27-'Assumptions '!$G$26-1),0)))</f>
        <v>0</v>
      </c>
      <c r="T21" s="4">
        <f>IF(T3&lt;'Assumptions '!$G$26,'Assumptions '!$G$30/('Assumptions '!$G$26-1),IF(CashFlow!T3='Assumptions '!$G$26,0,IF(CashFlow!T3&lt;'Assumptions '!$G$27,'Assumptions '!$G$30/('Assumptions '!$G$27-'Assumptions '!$G$26-1),0)))</f>
        <v>0</v>
      </c>
      <c r="U21" s="4">
        <f>IF(U3&lt;'Assumptions '!$G$26,'Assumptions '!$G$30/('Assumptions '!$G$26-1),IF(CashFlow!U3='Assumptions '!$G$26,0,IF(CashFlow!U3&lt;'Assumptions '!$G$27,'Assumptions '!$G$30/('Assumptions '!$G$27-'Assumptions '!$G$26-1),0)))</f>
        <v>0</v>
      </c>
      <c r="V21" s="4">
        <f>IF(V3&lt;'Assumptions '!$G$26,'Assumptions '!$G$30/('Assumptions '!$G$26-1),IF(CashFlow!V3='Assumptions '!$G$26,0,IF(CashFlow!V3&lt;'Assumptions '!$G$27,'Assumptions '!$G$30/('Assumptions '!$G$27-'Assumptions '!$G$26-1),0)))</f>
        <v>0</v>
      </c>
      <c r="W21" s="4">
        <f>IF(W3&lt;'Assumptions '!$G$26,'Assumptions '!$G$30/('Assumptions '!$G$26-1),IF(CashFlow!W3='Assumptions '!$G$26,0,IF(CashFlow!W3&lt;'Assumptions '!$G$27,'Assumptions '!$G$30/('Assumptions '!$G$27-'Assumptions '!$G$26-1),0)))</f>
        <v>0</v>
      </c>
      <c r="X21" s="4">
        <f>IF(X3&lt;'Assumptions '!$G$26,'Assumptions '!$G$30/('Assumptions '!$G$26-1),IF(CashFlow!X3='Assumptions '!$G$26,0,IF(CashFlow!X3&lt;'Assumptions '!$G$27,'Assumptions '!$G$30/('Assumptions '!$G$27-'Assumptions '!$G$26-1),0)))</f>
        <v>0</v>
      </c>
      <c r="Y21" s="4">
        <f>IF(Y3&lt;'Assumptions '!$G$26,'Assumptions '!$G$30/('Assumptions '!$G$26-1),IF(CashFlow!Y3='Assumptions '!$G$26,0,IF(CashFlow!Y3&lt;'Assumptions '!$G$27,'Assumptions '!$G$30/('Assumptions '!$G$27-'Assumptions '!$G$26-1),0)))</f>
        <v>0</v>
      </c>
      <c r="Z21" s="4">
        <f>IF(Z3&lt;'Assumptions '!$G$26,'Assumptions '!$G$30/('Assumptions '!$G$26-1),IF(CashFlow!Z3='Assumptions '!$G$26,0,IF(CashFlow!Z3&lt;'Assumptions '!$G$27,'Assumptions '!$G$30/('Assumptions '!$G$27-'Assumptions '!$G$26-1),0)))</f>
        <v>0</v>
      </c>
      <c r="AA21" s="4">
        <f>IF(AA3&lt;'Assumptions '!$G$26,'Assumptions '!$G$30/('Assumptions '!$G$26-1),IF(CashFlow!AA3='Assumptions '!$G$26,0,IF(CashFlow!AA3&lt;'Assumptions '!$G$27,'Assumptions '!$G$30/('Assumptions '!$G$27-'Assumptions '!$G$26-1),0)))</f>
        <v>0</v>
      </c>
      <c r="AB21" s="4">
        <f>IF(AB3&lt;'Assumptions '!$G$26,'Assumptions '!$G$30/('Assumptions '!$G$26-1),IF(CashFlow!AB3='Assumptions '!$G$26,0,IF(CashFlow!AB3&lt;'Assumptions '!$G$27,'Assumptions '!$G$30/('Assumptions '!$G$27-'Assumptions '!$G$26-1),0)))</f>
        <v>0</v>
      </c>
      <c r="AC21" s="4">
        <f>IF(AC3&lt;'Assumptions '!$G$26,'Assumptions '!$G$30/('Assumptions '!$G$26-1),IF(CashFlow!AC3='Assumptions '!$G$26,0,IF(CashFlow!AC3&lt;'Assumptions '!$G$27,'Assumptions '!$G$30/('Assumptions '!$G$27-'Assumptions '!$G$26-1),0)))</f>
        <v>0</v>
      </c>
      <c r="AD21" s="4">
        <f>IF(AD3&lt;'Assumptions '!$G$26,'Assumptions '!$G$30/('Assumptions '!$G$26-1),IF(CashFlow!AD3='Assumptions '!$G$26,0,IF(CashFlow!AD3&lt;'Assumptions '!$G$27,'Assumptions '!$G$30/('Assumptions '!$G$27-'Assumptions '!$G$26-1),0)))</f>
        <v>0</v>
      </c>
      <c r="AE21" s="4">
        <f>IF(AE3&lt;'Assumptions '!$G$26,'Assumptions '!$G$30/('Assumptions '!$G$26-1),IF(CashFlow!AE3='Assumptions '!$G$26,0,IF(CashFlow!AE3&lt;'Assumptions '!$G$27,'Assumptions '!$G$30/('Assumptions '!$G$27-'Assumptions '!$G$26-1),0)))</f>
        <v>0</v>
      </c>
      <c r="AF21" s="4">
        <f>IF(AF3&lt;'Assumptions '!$G$26,'Assumptions '!$G$30/('Assumptions '!$G$26-1),IF(CashFlow!AF3='Assumptions '!$G$26,0,IF(CashFlow!AF3&lt;'Assumptions '!$G$27,'Assumptions '!$G$30/('Assumptions '!$G$27-'Assumptions '!$G$26-1),0)))</f>
        <v>0</v>
      </c>
      <c r="AG21" s="4">
        <f>IF(AG3&lt;'Assumptions '!$G$26,'Assumptions '!$G$30/('Assumptions '!$G$26-1),IF(CashFlow!AG3='Assumptions '!$G$26,0,IF(CashFlow!AG3&lt;'Assumptions '!$G$27,'Assumptions '!$G$30/('Assumptions '!$G$27-'Assumptions '!$G$26-1),0)))</f>
        <v>0</v>
      </c>
      <c r="AH21" s="4"/>
      <c r="AI21" s="4"/>
      <c r="AJ21" s="4"/>
      <c r="AK21" s="4"/>
      <c r="AL21" s="4"/>
      <c r="AM21" s="4"/>
      <c r="AN21" s="4"/>
    </row>
    <row r="22" spans="1:40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</row>
    <row r="23" spans="1:40">
      <c r="A23" s="8" t="s">
        <v>70</v>
      </c>
      <c r="B23" s="4">
        <v>0</v>
      </c>
      <c r="C23" s="4"/>
      <c r="D23" s="4">
        <f>IF(D3='Assumptions '!$G$26,0,IF(CashFlow!D3='Assumptions '!$G$27,0,B23+D21))</f>
        <v>0</v>
      </c>
      <c r="E23" s="4">
        <f>IF(E3='Assumptions '!$G$26,0,IF(CashFlow!E3='Assumptions '!$G$27,0,D23+E21))</f>
        <v>0</v>
      </c>
      <c r="F23" s="4">
        <f>IF(F3='Assumptions '!$G$26,0,IF(CashFlow!F3='Assumptions '!$G$27,0,E23+F21))</f>
        <v>0</v>
      </c>
      <c r="G23" s="4">
        <f>IF(G3='Assumptions '!$G$26,0,IF(CashFlow!G3='Assumptions '!$G$27,0,F23+G21))</f>
        <v>0</v>
      </c>
      <c r="H23" s="4">
        <f>IF(H3='Assumptions '!$G$26,0,IF(CashFlow!H3='Assumptions '!$G$27,0,G23+H21))</f>
        <v>0</v>
      </c>
      <c r="I23" s="4">
        <f>IF(I3='Assumptions '!$G$26,0,IF(CashFlow!I3='Assumptions '!$G$27,0,H23+I21))</f>
        <v>0</v>
      </c>
      <c r="J23" s="4">
        <f>IF(J3='Assumptions '!$G$26,0,IF(CashFlow!J3='Assumptions '!$G$27,0,I23+J21))</f>
        <v>0</v>
      </c>
      <c r="K23" s="4">
        <f>IF(K3='Assumptions '!$G$26,0,IF(CashFlow!K3='Assumptions '!$G$27,0,J23+K21))</f>
        <v>0</v>
      </c>
      <c r="L23" s="4">
        <f>IF(L3='Assumptions '!$G$26,0,IF(CashFlow!L3='Assumptions '!$G$27,0,K23+L21))</f>
        <v>0</v>
      </c>
      <c r="M23" s="4">
        <f>IF(M3='Assumptions '!$G$26,0,IF(CashFlow!M3='Assumptions '!$G$27,0,L23+M21))</f>
        <v>0</v>
      </c>
      <c r="N23" s="4">
        <f>IF(N3='Assumptions '!$G$26,0,IF(CashFlow!N3='Assumptions '!$G$27,0,M23+N21))</f>
        <v>0</v>
      </c>
      <c r="O23" s="4">
        <f>IF(O3='Assumptions '!$G$26,0,IF(CashFlow!O3='Assumptions '!$G$27,0,N23+O21))</f>
        <v>0</v>
      </c>
      <c r="P23" s="4">
        <f>IF(P3='Assumptions '!$G$26,0,IF(CashFlow!P3='Assumptions '!$G$27,0,O23+P21))</f>
        <v>0</v>
      </c>
      <c r="Q23" s="4">
        <f>IF(Q3='Assumptions '!$G$26,0,IF(CashFlow!Q3='Assumptions '!$G$27,0,P23+Q21))</f>
        <v>0</v>
      </c>
      <c r="R23" s="4">
        <f>IF(R3='Assumptions '!$G$26,0,IF(CashFlow!R3='Assumptions '!$G$27,0,Q23+R21))</f>
        <v>0</v>
      </c>
      <c r="S23" s="4">
        <f>IF(S3='Assumptions '!$G$26,0,IF(CashFlow!S3='Assumptions '!$G$27,0,R23+S21))</f>
        <v>0</v>
      </c>
      <c r="T23" s="4">
        <f>IF(T3='Assumptions '!$G$26,0,IF(CashFlow!T3='Assumptions '!$G$27,0,S23+T21))</f>
        <v>0</v>
      </c>
      <c r="U23" s="4">
        <f>IF(U3='Assumptions '!$G$26,0,IF(CashFlow!U3='Assumptions '!$G$27,0,T23+U21))</f>
        <v>0</v>
      </c>
      <c r="V23" s="4">
        <f>IF(V3='Assumptions '!$G$26,0,IF(CashFlow!V3='Assumptions '!$G$27,0,U23+V21))</f>
        <v>0</v>
      </c>
      <c r="W23" s="4">
        <f>IF(W3='Assumptions '!$G$26,0,IF(CashFlow!W3='Assumptions '!$G$27,0,V23+W21))</f>
        <v>0</v>
      </c>
      <c r="X23" s="4">
        <f>IF(X3='Assumptions '!$G$26,0,IF(CashFlow!X3='Assumptions '!$G$27,0,W23+X21))</f>
        <v>0</v>
      </c>
      <c r="Y23" s="4">
        <f>IF(Y3='Assumptions '!$G$26,0,IF(CashFlow!Y3='Assumptions '!$G$27,0,X23+Y21))</f>
        <v>0</v>
      </c>
      <c r="Z23" s="4">
        <f>IF(Z3='Assumptions '!$G$26,0,IF(CashFlow!Z3='Assumptions '!$G$27,0,Y23+Z21))</f>
        <v>0</v>
      </c>
      <c r="AA23" s="4">
        <f>IF(AA3='Assumptions '!$G$26,0,IF(CashFlow!AA3='Assumptions '!$G$27,0,Z23+AA21))</f>
        <v>0</v>
      </c>
      <c r="AB23" s="4">
        <f>IF(AB3='Assumptions '!$G$26,0,IF(CashFlow!AB3='Assumptions '!$G$27,0,AA23+AB21))</f>
        <v>0</v>
      </c>
      <c r="AC23" s="4">
        <f>IF(AC3='Assumptions '!$G$26,0,IF(CashFlow!AC3='Assumptions '!$G$27,0,AB23+AC21))</f>
        <v>0</v>
      </c>
      <c r="AD23" s="4">
        <f>IF(AD3='Assumptions '!$G$26,0,IF(CashFlow!AD3='Assumptions '!$G$27,0,AC23+AD21))</f>
        <v>0</v>
      </c>
      <c r="AE23" s="4">
        <f>IF(AE3='Assumptions '!$G$26,0,IF(CashFlow!AE3='Assumptions '!$G$27,0,AD23+AE21))</f>
        <v>0</v>
      </c>
      <c r="AF23" s="4">
        <f>IF(AF3='Assumptions '!$G$26,0,IF(CashFlow!AF3='Assumptions '!$G$27,0,AE23+AF21))</f>
        <v>0</v>
      </c>
      <c r="AG23" s="4">
        <f>IF(AG3='Assumptions '!$G$26,0,IF(CashFlow!AG3='Assumptions '!$G$27,0,AF23+AG21))</f>
        <v>0</v>
      </c>
      <c r="AH23" s="4"/>
      <c r="AI23" s="4"/>
      <c r="AJ23" s="4"/>
      <c r="AK23" s="4"/>
      <c r="AL23" s="4"/>
      <c r="AM23" s="4"/>
      <c r="AN23" s="4"/>
    </row>
    <row r="24" spans="1:40">
      <c r="A24" s="8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</row>
    <row r="25" spans="1:40">
      <c r="A25" s="8" t="s">
        <v>71</v>
      </c>
      <c r="B25" s="4"/>
      <c r="C25" s="4">
        <f>C6+C15+C17-C21</f>
        <v>-660650.77409999957</v>
      </c>
      <c r="D25" s="4">
        <f>D6+D15+D17-D21</f>
        <v>41404.402145003347</v>
      </c>
      <c r="E25" s="4">
        <f t="shared" ref="E25:AG25" si="2">E15+E17-E21</f>
        <v>45135.629645003355</v>
      </c>
      <c r="F25" s="4">
        <f t="shared" si="2"/>
        <v>47866.49810022724</v>
      </c>
      <c r="G25" s="4">
        <f t="shared" si="2"/>
        <v>50641.340522627084</v>
      </c>
      <c r="H25" s="4">
        <f t="shared" si="2"/>
        <v>53460.877002670313</v>
      </c>
      <c r="I25" s="4">
        <f t="shared" si="2"/>
        <v>56325.839914439304</v>
      </c>
      <c r="J25" s="4">
        <f t="shared" si="2"/>
        <v>59236.974124366126</v>
      </c>
      <c r="K25" s="4">
        <f t="shared" si="2"/>
        <v>62195.037203663611</v>
      </c>
      <c r="L25" s="4">
        <f t="shared" si="2"/>
        <v>65200.799644515064</v>
      </c>
      <c r="M25" s="4">
        <f t="shared" si="2"/>
        <v>68255.045080087963</v>
      </c>
      <c r="N25" s="4">
        <f t="shared" si="2"/>
        <v>71358.570508435252</v>
      </c>
      <c r="O25" s="4">
        <f t="shared" si="2"/>
        <v>74512.186520351504</v>
      </c>
      <c r="P25" s="4">
        <f t="shared" si="2"/>
        <v>77716.71753125175</v>
      </c>
      <c r="Q25" s="4">
        <f t="shared" si="2"/>
        <v>80973.002017141</v>
      </c>
      <c r="R25" s="4">
        <f t="shared" si="2"/>
        <v>84281.89275474599</v>
      </c>
      <c r="S25" s="4">
        <f t="shared" si="2"/>
        <v>87644.257065878424</v>
      </c>
      <c r="T25" s="4">
        <f t="shared" si="2"/>
        <v>91060.977066106192</v>
      </c>
      <c r="U25" s="4">
        <f t="shared" si="2"/>
        <v>94532.949917801976</v>
      </c>
      <c r="V25" s="4">
        <f t="shared" si="2"/>
        <v>98061.088087649376</v>
      </c>
      <c r="W25" s="4">
        <f t="shared" si="2"/>
        <v>101646.31960867989</v>
      </c>
      <c r="X25" s="4">
        <f t="shared" si="2"/>
        <v>250446.561201918</v>
      </c>
      <c r="Y25" s="4">
        <f t="shared" si="2"/>
        <v>254148.82712773321</v>
      </c>
      <c r="Z25" s="4">
        <f t="shared" si="2"/>
        <v>257911.06659193017</v>
      </c>
      <c r="AA25" s="4">
        <f t="shared" si="2"/>
        <v>261734.27260672604</v>
      </c>
      <c r="AB25" s="4">
        <f t="shared" si="2"/>
        <v>265619.45513165079</v>
      </c>
      <c r="AC25" s="4">
        <f t="shared" si="2"/>
        <v>0</v>
      </c>
      <c r="AD25" s="4">
        <f t="shared" si="2"/>
        <v>0</v>
      </c>
      <c r="AE25" s="4">
        <f t="shared" si="2"/>
        <v>0</v>
      </c>
      <c r="AF25" s="4">
        <f t="shared" si="2"/>
        <v>0</v>
      </c>
      <c r="AG25" s="4">
        <f t="shared" si="2"/>
        <v>0</v>
      </c>
      <c r="AH25" s="4"/>
      <c r="AI25" s="4"/>
      <c r="AJ25" s="4"/>
      <c r="AK25" s="4"/>
      <c r="AL25" s="4"/>
      <c r="AM25" s="4"/>
      <c r="AN25" s="4"/>
    </row>
    <row r="26" spans="1:40">
      <c r="A26" s="8" t="s">
        <v>58</v>
      </c>
      <c r="B26" s="46">
        <f>IRR(C25:AK25)</f>
        <v>0.10085793134195109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</row>
    <row r="27" spans="1:40">
      <c r="A27" s="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</row>
    <row r="28" spans="1:40">
      <c r="A28" s="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</row>
    <row r="29" spans="1:40">
      <c r="A29" s="8"/>
      <c r="B29" s="46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</row>
    <row r="30" spans="1:40">
      <c r="A30" s="8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spans="1:40">
      <c r="A31" s="8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</row>
    <row r="32" spans="1:40">
      <c r="A32" s="8"/>
      <c r="B32" s="5"/>
      <c r="D32" s="2"/>
    </row>
    <row r="33" spans="4:4">
      <c r="D33" s="4"/>
    </row>
  </sheetData>
  <phoneticPr fontId="4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BFF0D2D5121847A690A530FDC4D9FD" ma:contentTypeVersion="11" ma:contentTypeDescription="Create a new document." ma:contentTypeScope="" ma:versionID="ffd0034e8e878958e81161a15b5bceac">
  <xsd:schema xmlns:xsd="http://www.w3.org/2001/XMLSchema" xmlns:xs="http://www.w3.org/2001/XMLSchema" xmlns:p="http://schemas.microsoft.com/office/2006/metadata/properties" xmlns:ns2="18d0677f-153c-436c-bd7f-ad82ad9c6f0e" xmlns:ns3="c299ed7f-6fa1-402d-9d4a-3f04942274df" targetNamespace="http://schemas.microsoft.com/office/2006/metadata/properties" ma:root="true" ma:fieldsID="0f2b32d7b59412b379e9cb6cb7b2c069" ns2:_="" ns3:_="">
    <xsd:import namespace="18d0677f-153c-436c-bd7f-ad82ad9c6f0e"/>
    <xsd:import namespace="c299ed7f-6fa1-402d-9d4a-3f04942274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d0677f-153c-436c-bd7f-ad82ad9c6f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60bb8f9-8d7c-48b8-86a5-c832f81b6b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9ed7f-6fa1-402d-9d4a-3f04942274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53eeafd-76d1-4712-aba9-3917ed05767a}" ma:internalName="TaxCatchAll" ma:showField="CatchAllData" ma:web="c299ed7f-6fa1-402d-9d4a-3f04942274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9ed7f-6fa1-402d-9d4a-3f04942274df" xsi:nil="true"/>
    <lcf76f155ced4ddcb4097134ff3c332f xmlns="18d0677f-153c-436c-bd7f-ad82ad9c6f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0111A7-B40A-4070-84B0-E8EEBFE9AC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d0677f-153c-436c-bd7f-ad82ad9c6f0e"/>
    <ds:schemaRef ds:uri="c299ed7f-6fa1-402d-9d4a-3f04942274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6F9F372-738C-452C-B012-7E1D06BB46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69D49A-3A3C-4940-A389-03A729D6B4E7}">
  <ds:schemaRefs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www.w3.org/XML/1998/namespace"/>
    <ds:schemaRef ds:uri="http://purl.org/dc/elements/1.1/"/>
    <ds:schemaRef ds:uri="c299ed7f-6fa1-402d-9d4a-3f04942274df"/>
    <ds:schemaRef ds:uri="http://purl.org/dc/terms/"/>
    <ds:schemaRef ds:uri="http://schemas.microsoft.com/office/infopath/2007/PartnerControls"/>
    <ds:schemaRef ds:uri="18d0677f-153c-436c-bd7f-ad82ad9c6f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Assumptions </vt:lpstr>
      <vt:lpstr>CashFlow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Karen</dc:creator>
  <cp:keywords/>
  <dc:description/>
  <cp:lastModifiedBy>James Pagonis</cp:lastModifiedBy>
  <cp:revision/>
  <dcterms:created xsi:type="dcterms:W3CDTF">2024-05-16T15:25:35Z</dcterms:created>
  <dcterms:modified xsi:type="dcterms:W3CDTF">2026-02-24T19:47:02Z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0x0101005CBFF0D2D5121847A690A530FDC4D9FD</vt:lpwstr>
  </property>
  <property fmtid="{D5CDD505-2E9C-101B-9397-08002B2CF9AE}" pid="3" name="MediaServiceImageTags">
    <vt:lpwstr/>
  </property>
</Properties>
</file>