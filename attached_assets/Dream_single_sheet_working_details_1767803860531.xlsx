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ames\Documents\Scale\Dream\"/>
    </mc:Choice>
  </mc:AlternateContent>
  <xr:revisionPtr revIDLastSave="0" documentId="13_ncr:1_{71617898-6836-46D0-A399-F6B2B7F3898F}" xr6:coauthVersionLast="47" xr6:coauthVersionMax="47" xr10:uidLastSave="{00000000-0000-0000-0000-000000000000}"/>
  <bookViews>
    <workbookView xWindow="28680" yWindow="-120" windowWidth="29040" windowHeight="15840" xr2:uid="{4988A614-C5CD-4C5F-95D5-2614D77BC25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 i="2" l="1"/>
  <c r="AC10" i="2"/>
  <c r="D28" i="2"/>
  <c r="E28" i="2"/>
  <c r="F28" i="2"/>
  <c r="G28" i="2"/>
  <c r="H28" i="2"/>
  <c r="I28" i="2"/>
  <c r="J28" i="2"/>
  <c r="K28" i="2"/>
  <c r="L28" i="2"/>
  <c r="M28" i="2"/>
  <c r="N28" i="2"/>
  <c r="O28" i="2"/>
  <c r="P28" i="2"/>
  <c r="Q28" i="2"/>
  <c r="R28" i="2"/>
  <c r="S28" i="2"/>
  <c r="T28" i="2"/>
  <c r="U28" i="2"/>
  <c r="V28" i="2"/>
  <c r="W28" i="2"/>
  <c r="X28" i="2"/>
  <c r="Y28" i="2"/>
  <c r="Z28" i="2"/>
  <c r="AA28" i="2"/>
  <c r="AB28" i="2"/>
  <c r="C28" i="2"/>
  <c r="AB9" i="2"/>
  <c r="AA9" i="2"/>
  <c r="Z9" i="2"/>
  <c r="Y9" i="2"/>
  <c r="X9" i="2"/>
  <c r="W9" i="2"/>
  <c r="V9" i="2"/>
  <c r="U9" i="2"/>
  <c r="T9" i="2"/>
  <c r="S9" i="2"/>
  <c r="R9" i="2"/>
  <c r="Q9" i="2"/>
  <c r="P9" i="2"/>
  <c r="O9" i="2"/>
  <c r="N9" i="2"/>
  <c r="M9" i="2"/>
  <c r="L9" i="2"/>
  <c r="K9" i="2"/>
  <c r="J9" i="2"/>
  <c r="I9" i="2"/>
  <c r="H9" i="2"/>
  <c r="G9" i="2"/>
  <c r="F9" i="2"/>
  <c r="E9" i="2"/>
  <c r="D9" i="2"/>
  <c r="C9" i="2"/>
</calcChain>
</file>

<file path=xl/sharedStrings.xml><?xml version="1.0" encoding="utf-8"?>
<sst xmlns="http://schemas.openxmlformats.org/spreadsheetml/2006/main" count="324" uniqueCount="210">
  <si>
    <t>BU</t>
  </si>
  <si>
    <t>Building Location</t>
  </si>
  <si>
    <t>Address</t>
  </si>
  <si>
    <t>Building SQFT</t>
  </si>
  <si>
    <t>Year Built</t>
  </si>
  <si>
    <t>Estimated Rooftop PV System Size (kW DC)</t>
  </si>
  <si>
    <t>Estimated Rooftop PV System Size (kW AC)</t>
  </si>
  <si>
    <t>MON7003</t>
  </si>
  <si>
    <t>Montreal, QC</t>
  </si>
  <si>
    <t>2580 Dollard Avenue</t>
  </si>
  <si>
    <t>MON7017</t>
  </si>
  <si>
    <t>Lachine, QC</t>
  </si>
  <si>
    <t>1600 50th Avenue</t>
  </si>
  <si>
    <t>MON7020</t>
  </si>
  <si>
    <t>Pointe-Claire, QC</t>
  </si>
  <si>
    <t>5500 Trans-Canada Highway</t>
  </si>
  <si>
    <t>MON7024</t>
  </si>
  <si>
    <t>117 Hymus Boulevard</t>
  </si>
  <si>
    <t>MON7025</t>
  </si>
  <si>
    <t>7101 Notre-Dame Street East</t>
  </si>
  <si>
    <t>MON7026</t>
  </si>
  <si>
    <t>Dorval, QC</t>
  </si>
  <si>
    <t>2900 Avenue Andre</t>
  </si>
  <si>
    <t>MON7027</t>
  </si>
  <si>
    <t>7350 Trans-Canada Highway</t>
  </si>
  <si>
    <t>MON7028</t>
  </si>
  <si>
    <t>Saint-Laurent, QC</t>
  </si>
  <si>
    <t>2520 Marie-Curie</t>
  </si>
  <si>
    <t>MON7030</t>
  </si>
  <si>
    <t>1177-1185 55e Ave</t>
  </si>
  <si>
    <t>MON7038</t>
  </si>
  <si>
    <t>5685 Rue Cypihot</t>
  </si>
  <si>
    <t>MON7043</t>
  </si>
  <si>
    <t>3665 Boulevard Poirier</t>
  </si>
  <si>
    <t>MON7044</t>
  </si>
  <si>
    <t>7800 Transcanada</t>
  </si>
  <si>
    <t>Montreal</t>
  </si>
  <si>
    <t>8000 Blaise-Pascal</t>
  </si>
  <si>
    <t>Laval</t>
  </si>
  <si>
    <t>1313 Autoroute Chomedey</t>
  </si>
  <si>
    <t>Lachine</t>
  </si>
  <si>
    <t>1125 50th Avenue</t>
  </si>
  <si>
    <t>5000 rue Fairway &amp; 1645 50e Avenue</t>
  </si>
  <si>
    <t>333 Chemin du Tremblay</t>
  </si>
  <si>
    <t>1500 rue Nobel</t>
  </si>
  <si>
    <t>2000 32e Avenue</t>
  </si>
  <si>
    <t>1825 - 1865 32e Avenue</t>
  </si>
  <si>
    <t>1876 - 1936 32e Avenue</t>
  </si>
  <si>
    <t>Longueuil</t>
  </si>
  <si>
    <t>2350 de la Province</t>
  </si>
  <si>
    <t>2995 Le Corbusier</t>
  </si>
  <si>
    <t>700 McCaffrey Road</t>
  </si>
  <si>
    <t>401 Rue Marie Curie</t>
  </si>
  <si>
    <t>3055 Rue Anderson</t>
  </si>
  <si>
    <t>$1.5M budgeted in 2026-2028 for replacement.</t>
  </si>
  <si>
    <t>$850k budgeted in 2025 for replacement.</t>
  </si>
  <si>
    <t>$2.9M budgeted in 2032 for replacement.</t>
  </si>
  <si>
    <t>Half of roof is new. $215k budgeted in 2026 for an additional 1/6th of roof. This brings total new roof to 70,000 ft2.</t>
  </si>
  <si>
    <t>80% of roof is under 8 years old. $144k budgeted in 2026 for additional roof replacement.</t>
  </si>
  <si>
    <t>85% of roof is under 7 years old.</t>
  </si>
  <si>
    <t>100% of roof is under 7 years old.</t>
  </si>
  <si>
    <t>$630k budgeted in 2026-2031 for replacement.</t>
  </si>
  <si>
    <t>$935k budgeted in 2030-2032 for replacement.</t>
  </si>
  <si>
    <t>$1.4M budgeted for 60% of roof in 2030-2031.</t>
  </si>
  <si>
    <t>18% of roof area is 4 years old. $1.1M budgeted in 2026-2030 for replacement.</t>
  </si>
  <si>
    <t>40% is under 7 years old. 
$625k budgeted in 2027-2028 for replacement.</t>
  </si>
  <si>
    <t>30% of roof is under 4 years old. $7.5M budgeted in 2028-2030 for replacement.</t>
  </si>
  <si>
    <t>$2M budgeted in 2026-2029 for replacement.</t>
  </si>
  <si>
    <t/>
  </si>
  <si>
    <t xml:space="preserve">1 - 16720 ft2 - BUR - Installed ; 2 - 13741 ft2 - BUR - Installed ; 3 - 14194 ft2 - BUR - Installed ; 4 - 13741 ft2 - Modified bitumen - Installed ; 5 - 14194 ft2 - Modified bitumen - Installed ; 6 - 9595 ft2 -  - Installed ; 7 - 9500 ft2 -  - Installed </t>
  </si>
  <si>
    <t>A - 9242 ft2 -  - Installed 2022; B - 10980 ft2 -  - Installed 2001; C - 12929 ft2 - Modified bitumen - Installed 2014; D - 12929 ft2 -  - Installed 2015; E - 13200 ft2 -  - Installed 2022; F - 10945 ft2 - Modified bitumen - Installed 2018; G - 15575 ft2 - Modified bitumen - Installed 2018</t>
  </si>
  <si>
    <t>A - 11492 ft2 - Modified bitumen - Installed 2022; B - 18260 ft2 - Modified bitumen - Installed 2020; C - 17104 ft2 - Modified bitumen - Installed 2015; D - 17704 ft2 - Modified bitumen - Installed 2018; E - 18341 ft2 - Modified bitumen - Installed 2022</t>
  </si>
  <si>
    <t>A -  ft2 -  - Installed 2019; B -  ft2 -  - Installed 2019; C -  ft2 -  - Installed 2020; D -  ft2 -  - Installed 2021; E -  ft2 -  - Installed 2021; F -  ft2 -  - Installed 2021</t>
  </si>
  <si>
    <t>A - 8789 ft2 - Modified bitumen - Installed 2003; B - 11238 ft2 -  - Installed ; C - 10187 ft2 -  - Installed ; D - 10542 ft2 - Modified bitumen - Installed 2003; E - 14301 ft2 - Modified bitumen - Installed 2003; F - 14285 ft2 - Modified bitumen - Installed 2003</t>
  </si>
  <si>
    <t>A - 11170 ft2 - ? - Installed 2023; B - 12431 ft2 - ? - Installed 2021; C - 10000 ft2 - ? - Installed 2005; D - 11194 ft2 - ? - Installed 2005; E - 11013 ft2 - ? - Installed 2005; F - 11240 ft2 - ? - Installed 2005; G - 16964 ft2 - ? - Installed 2005</t>
  </si>
  <si>
    <t xml:space="preserve">A -  ft2 -  - Installed ; B - 60000 ft2 -  - Installed ; C - 88000 ft2 -  - Installed </t>
  </si>
  <si>
    <t>1 - 5304 ft2 - BUR - Installed 2021; 1.1 - 9900 ft2 - BUR - Installed 2006; 1.2 - 10201 ft2 - BUR - Installed 2006; 1.3 - 10000 ft2 - BUR - Installed 2003; 1.4 - 7800 ft2 - BUR - Installed 2021; 1.5 - 15197 ft2 - BUR - Installed 2001; 1.6 - 15352 ft2 - BUR - Installed 2000; 1.7 - 15200 ft2 - BUR - Installed 2006; 2 - 7722 ft2 - BUR - Installed 2021; 2.1 - 7623 ft2 - BUR - Installed 2006; 2.2 - 10692 ft2 - BUR - Installed 2000</t>
  </si>
  <si>
    <t>1 - 96213 ft2 -  - Installed 2022; 2 - 183920 ft2 - Modified bitumen - Installed 2005; 3 - 157994 ft2 - Modified bitumen - Installed 2005; 4 - 161556 ft2 - Modified bitumen - Installed 2005; 5 - 129663 ft2 -  - Installed 2021; A - 11508 ft2 - ? - Installed 2005; B - 3502 ft2 - ? - Installed 2005; C - 3019 ft2 - ? - Installed 2005</t>
  </si>
  <si>
    <t>Unknown - Sept 2024 roof report mentions lots of deficiencies but not age of roof and overall condition. We have $1.5M budgeted (105k ft2) in 2026-2028 capex plan. Should be enough to support new roof.
Vacant.</t>
  </si>
  <si>
    <t>Unknown - Nov 2024 roof report mentions lots of deficiencies but not age of roof and overall condition. We have $850k budgeted in 2026 capex plan for full roof</t>
  </si>
  <si>
    <t>Unknown - but we have $2.9M budgeted in 2032. this site would be a good candidate if roof replacement is accelerated.</t>
  </si>
  <si>
    <t>Unknown - $215k budgeted in 2026 capex plan for 1/6th of building. Appears like half of the roof is newish TPO. This would bring total good roof area to ~70,000 ft2</t>
  </si>
  <si>
    <t>57% of roof (48962 ft2) under 7 years old, 36% of total roof is 7 years old (now or never). Rest of roof is between 10-24 years old. 
$144K BUDGETED IN 2026 - CAPEX PLAN.</t>
  </si>
  <si>
    <t xml:space="preserve">Most of the roof is under 7 years old (~85%). </t>
  </si>
  <si>
    <t xml:space="preserve">The entire roof is under 7 years old. </t>
  </si>
  <si>
    <t>Would need a roof replacement as roof is at the end of its life. 2026-31 - $630k (47k ft2) budgeted for replacement</t>
  </si>
  <si>
    <t xml:space="preserve">30% of the roof (23601 ft2) is between 2-4 years. The rest 70% is 20 years old. 2030-32 - $935k (60k ft2) budgeted (C,D,E,F,G) </t>
  </si>
  <si>
    <t>2030-31 - $1.4M budgeted for 130k ft2 of roof</t>
  </si>
  <si>
    <t xml:space="preserve">18.1 % of roof area (20,826 ft2) is 4 years old, 45% (51241 ft2) is above 20 years and would need to be replaced due to end of life. To note,  37% of the roof (42,924 ft2) is currently 19 years old, and will join the 20+ years (category 2 shortly). 
$1.1M BUDGETED IN 2026-2030 - CAPEX PLAN.
</t>
  </si>
  <si>
    <t>Unknown - 40% apprears newish. 60% appears old (but in ok condition). 
$625k budgeted in 2027-2028 capex plan (52k ft2).</t>
  </si>
  <si>
    <t>30 % of roof is between 3-4 years (225,976 ft2); the rest (521499 ft2) is 20 years old.  2028-2030 - $7.5m budgeted for 450k ft2 roof replacement</t>
  </si>
  <si>
    <t>"The specific age of each pool was not provided to us, but it appears that these roofs date from around 2003. This has not been confirmed by La Pointe du conseil inc. Pools 1 to 27 are currently approximately 21 years old. Leaks reportedly occurred this winter, and a contractor selected by Dream undertook temporary caulking work on two pools specifically, namely pools B3 and B13."
$2M budgeted in 2026-2029 capex plan.</t>
  </si>
  <si>
    <t>$1.3M budgeted in 2025-2027 for replacement.</t>
  </si>
  <si>
    <t>$5.3M budgeted in 2027-2029 for replacement.</t>
  </si>
  <si>
    <t>$3.7M budgeted in 2027-2029 for replacement.</t>
  </si>
  <si>
    <t>$3.8M budgeted in 2027 for replacement.</t>
  </si>
  <si>
    <t>50% of roof is less than  years old.</t>
  </si>
  <si>
    <t>30% of roof is less than 6 years old. $660k budgeted in 2025 for replacement.</t>
  </si>
  <si>
    <t>$2M budgeted in 2027 for replacement.</t>
  </si>
  <si>
    <t>100% of roof is under 8 years old.</t>
  </si>
  <si>
    <t>$2.6M budgeted in 2026-2027 for replacement.</t>
  </si>
  <si>
    <t>$2.3M budgeted in 2029 for replacement.</t>
  </si>
  <si>
    <t>Tenant is expected to complete full roof replacement in 2026.</t>
  </si>
  <si>
    <t>About half of roof is due for replacement.  $167k budgeted in 2025 for BUR  type roof 11,935 sf roof area 1.7A. $1.144M budgeted in 2027 for BUR  type roof 44,775 sf roof area 1.0,1.1,1.2 &amp;1.6.</t>
  </si>
  <si>
    <t>Was tenant managed but now vacant. $400k budgeted in 2027 for BUR  type roof 15,325 sf roof area 1.9 &amp; 2.6. $4.9M budgeted in 2029 for BUR  type roof 11,352 sf roof area 1.0, 1.1,CA1  AND BUR  type roof 172,000 sf roof area 1.0, 1.1,1.10 &amp;1.11 &amp; 1.2 to 1.7</t>
  </si>
  <si>
    <t xml:space="preserve">Basins E1, H3, M1 and M2 were replaced in 2022. 
$2.1M budgeted in 2027 for Mod-bit type roof 38,622 sf roof area H1,H2, H6, H8 Single Ply TPO type roof 46,139 sf roof area J,L,N.  
$830k budgeted in 2028 for BUR type roof 2,658 sf roof area B1, B6; Mod-bit type roof 29,928 sf roof area H9-H11, H13,I1-I3, &amp; I; Single Ply TPO type roof 2,812 sf roof area K.
$715k budgeted in 2029 for BUR type roof 9,819 sf roof area B2-B5, D1 &amp; E2
Mod-bit type roof 18,174 sf roof area H4, H5, H7, H12. </t>
  </si>
  <si>
    <t xml:space="preserve">$3.8M budgeted in 2027 for full roof (EPDM-LLB  type roof 209,856 sf roof area 1.0) </t>
  </si>
  <si>
    <t xml:space="preserve">2020 - Roof membrane replacement of areas 2.0, 2.1,2.2,2.3,3.0,3.2,4.08,4.13,4.15 and 4.16 </t>
  </si>
  <si>
    <t>2019 - replacement of areas 1.4 and 1.5. $660k budgeted in 2025 for BUR type roof 32,000 sf roof areas 1.0 &amp;1.1</t>
  </si>
  <si>
    <t>$2M budgeted in 2027 for whole roof</t>
  </si>
  <si>
    <t>Roof membrane replaced in 2018</t>
  </si>
  <si>
    <t>4 Yrs - Basin A15                                        
11 Yrs - A-4 A-9 and A-10                                                                        
12 Yrs A-14 and A-15
14 Yrs- Basin A15
$2.6M budgeted in 2026 and 2027 for BUR type roof 64,873 sf Roof Areas: A7, A9 to A14 &amp; A18 AND BUR type roof 21,863 sf roof areas A1 to A4 &amp; A17 AND
EPDM type roof 59,691 sf roof areas A5-6, A8 &amp; A16</t>
  </si>
  <si>
    <t>Replacement required before solar installation. $2.3M budgeted in 2029 for SPTPO type roof 104,595 roof area 1.0 to 1.3</t>
  </si>
  <si>
    <t>Tenant started roof replacememtn in 2023 and expects to complete the 4 phases in 2026. As it's a tenant managed roof, can we put solar on top? Will we need to reimburse them for the recent upgrades or pay roof rent or what?</t>
  </si>
  <si>
    <t xml:space="preserve">Roof area 1.0-1.11 and 3.1/3.1 were replaced in approximately 2019. Roof area 2.0 was installed in 2022-2023 as part of a renovation/addition project. </t>
  </si>
  <si>
    <t>Roof Condition and Capex</t>
  </si>
  <si>
    <t>Roof Type</t>
  </si>
  <si>
    <t>Roof Comments</t>
  </si>
  <si>
    <t>DOT results</t>
  </si>
  <si>
    <t>HQ substation</t>
  </si>
  <si>
    <t>HQ line Identification</t>
  </si>
  <si>
    <t xml:space="preserve">HQ line voltage </t>
  </si>
  <si>
    <t xml:space="preserve">HQ Transformer </t>
  </si>
  <si>
    <t>Distribution upgrade</t>
  </si>
  <si>
    <t>substation upgrade</t>
  </si>
  <si>
    <t xml:space="preserve">Protections </t>
  </si>
  <si>
    <t>Comunications</t>
  </si>
  <si>
    <t xml:space="preserve">Lead time </t>
  </si>
  <si>
    <t xml:space="preserve">completion date </t>
  </si>
  <si>
    <t xml:space="preserve">contract target date </t>
  </si>
  <si>
    <t>DU_Tremblay</t>
  </si>
  <si>
    <t>L263</t>
  </si>
  <si>
    <t>D9I6U</t>
  </si>
  <si>
    <t>347/600V</t>
  </si>
  <si>
    <t>L236</t>
  </si>
  <si>
    <t>AQUEDUC</t>
  </si>
  <si>
    <t>L23402</t>
  </si>
  <si>
    <t>G8P2L</t>
  </si>
  <si>
    <t>347/600</t>
  </si>
  <si>
    <t>SAINT_JEAN_315_25kV</t>
  </si>
  <si>
    <t>L229</t>
  </si>
  <si>
    <t>D8O1X</t>
  </si>
  <si>
    <t>LONGUE_POINTE</t>
  </si>
  <si>
    <t>l144</t>
  </si>
  <si>
    <t>12.5Kv</t>
  </si>
  <si>
    <t>G6R5H</t>
  </si>
  <si>
    <t>HENRI_BOURASSA</t>
  </si>
  <si>
    <t>L271</t>
  </si>
  <si>
    <t>L2O3Q</t>
  </si>
  <si>
    <t>CHOMEDEY</t>
  </si>
  <si>
    <t>L239</t>
  </si>
  <si>
    <t>D8F5I</t>
  </si>
  <si>
    <t>DU_TREMBLAY</t>
  </si>
  <si>
    <t>W6M0K</t>
  </si>
  <si>
    <t>DORION</t>
  </si>
  <si>
    <t>L232</t>
  </si>
  <si>
    <t>D5K1E</t>
  </si>
  <si>
    <t>GROULX</t>
  </si>
  <si>
    <t>L253</t>
  </si>
  <si>
    <t>D3Z4B</t>
  </si>
  <si>
    <t xml:space="preserve">Capacity </t>
  </si>
  <si>
    <t>yes</t>
  </si>
  <si>
    <t>No</t>
  </si>
  <si>
    <t>no</t>
  </si>
  <si>
    <t>Structural</t>
  </si>
  <si>
    <t>Pass</t>
  </si>
  <si>
    <t>Capacity</t>
  </si>
  <si>
    <t>Laurent</t>
  </si>
  <si>
    <t>LAURENT</t>
  </si>
  <si>
    <t>L112</t>
  </si>
  <si>
    <t>M8X5S</t>
  </si>
  <si>
    <t>L144</t>
  </si>
  <si>
    <t>D8C5C</t>
  </si>
  <si>
    <t>LE_CORBUSIER</t>
  </si>
  <si>
    <t>L223</t>
  </si>
  <si>
    <t>K6M5Z</t>
  </si>
  <si>
    <t>l232</t>
  </si>
  <si>
    <t>k2d5z</t>
  </si>
  <si>
    <t>x4h1h</t>
  </si>
  <si>
    <t>DES_SOURCES</t>
  </si>
  <si>
    <t>L297</t>
  </si>
  <si>
    <t>25KV</t>
  </si>
  <si>
    <t>M6D9R</t>
  </si>
  <si>
    <t>DES_SOURCE</t>
  </si>
  <si>
    <t>L276</t>
  </si>
  <si>
    <t>S6R9R</t>
  </si>
  <si>
    <t>YES</t>
  </si>
  <si>
    <t>L227</t>
  </si>
  <si>
    <t>M4K6H</t>
  </si>
  <si>
    <t>L231</t>
  </si>
  <si>
    <t>D3Y6Y</t>
  </si>
  <si>
    <t>L287</t>
  </si>
  <si>
    <t>M4Y7W</t>
  </si>
  <si>
    <t>L151</t>
  </si>
  <si>
    <t>K1N9V</t>
  </si>
  <si>
    <t>SARAGUAY</t>
  </si>
  <si>
    <t>L274</t>
  </si>
  <si>
    <t>M3D4T</t>
  </si>
  <si>
    <t>L292</t>
  </si>
  <si>
    <t>S6Y9Z</t>
  </si>
  <si>
    <t>Balast Removal</t>
  </si>
  <si>
    <t>Partial</t>
  </si>
  <si>
    <t>0.36-0.45</t>
  </si>
  <si>
    <t>Yes</t>
  </si>
  <si>
    <t>0.25-0.36</t>
  </si>
  <si>
    <t>partial</t>
  </si>
  <si>
    <t>0.3-0.36</t>
  </si>
  <si>
    <t>yes?</t>
  </si>
  <si>
    <t>Draft Layout size (DC)</t>
  </si>
  <si>
    <t xml:space="preserve">Total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</si>
</sst>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_);_(* \(#,##0\);_(*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9">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16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1" xfId="1" applyNumberFormat="1" applyFont="1" applyFill="1" applyBorder="1" applyAlignment="1">
      <alignment horizontal="center" vertical="center" wrapText="1"/>
    </xf>
    <xf numFmtId="0" fontId="0" fillId="0" borderId="1" xfId="0" applyBorder="1"/>
    <xf numFmtId="44" fontId="0" fillId="0" borderId="1" xfId="2" applyFont="1" applyBorder="1"/>
    <xf numFmtId="15" fontId="0" fillId="0" borderId="1" xfId="0" applyNumberFormat="1" applyBorder="1"/>
    <xf numFmtId="0" fontId="0" fillId="0" borderId="1" xfId="0" applyBorder="1" applyAlignment="1">
      <alignment wrapText="1"/>
    </xf>
    <xf numFmtId="44" fontId="0" fillId="0" borderId="1" xfId="2" applyFont="1" applyBorder="1" applyAlignment="1">
      <alignment wrapText="1"/>
    </xf>
    <xf numFmtId="15" fontId="0" fillId="0" borderId="1" xfId="0" applyNumberFormat="1" applyBorder="1" applyAlignment="1">
      <alignment wrapText="1"/>
    </xf>
    <xf numFmtId="0" fontId="0" fillId="2" borderId="1" xfId="0" applyFill="1" applyBorder="1" applyAlignment="1">
      <alignment horizontal="center" vertical="center" wrapText="1"/>
    </xf>
    <xf numFmtId="164" fontId="0" fillId="2" borderId="1" xfId="1" applyNumberFormat="1" applyFont="1" applyFill="1" applyBorder="1" applyAlignment="1">
      <alignment horizontal="center" vertical="center" wrapText="1"/>
    </xf>
    <xf numFmtId="3" fontId="0" fillId="2" borderId="1" xfId="1" applyNumberFormat="1" applyFont="1" applyFill="1" applyBorder="1" applyAlignment="1">
      <alignment horizontal="center" vertical="center" wrapText="1"/>
    </xf>
    <xf numFmtId="0" fontId="0" fillId="2" borderId="1" xfId="0" applyFill="1" applyBorder="1" applyAlignment="1">
      <alignment wrapText="1"/>
    </xf>
    <xf numFmtId="44" fontId="0" fillId="2" borderId="1" xfId="2" applyFont="1" applyFill="1" applyBorder="1" applyAlignment="1">
      <alignment wrapText="1"/>
    </xf>
    <xf numFmtId="0" fontId="0" fillId="2" borderId="0" xfId="0" applyFill="1"/>
    <xf numFmtId="0" fontId="0" fillId="2" borderId="1" xfId="0" applyFill="1" applyBorder="1"/>
    <xf numFmtId="44" fontId="0" fillId="2" borderId="1" xfId="2" applyFont="1" applyFill="1" applyBorder="1"/>
    <xf numFmtId="15" fontId="0" fillId="2" borderId="1" xfId="0" applyNumberFormat="1" applyFill="1" applyBorder="1"/>
    <xf numFmtId="2" fontId="0" fillId="0" borderId="1" xfId="1" applyNumberFormat="1" applyFont="1" applyFill="1" applyBorder="1" applyAlignment="1">
      <alignment horizontal="center" wrapText="1"/>
    </xf>
    <xf numFmtId="2" fontId="0" fillId="2" borderId="1" xfId="1" applyNumberFormat="1" applyFont="1" applyFill="1" applyBorder="1" applyAlignment="1">
      <alignment horizontal="center" wrapText="1"/>
    </xf>
    <xf numFmtId="2" fontId="0" fillId="0" borderId="1" xfId="1" applyNumberFormat="1" applyFont="1" applyBorder="1" applyAlignment="1">
      <alignment horizontal="center" wrapText="1"/>
    </xf>
    <xf numFmtId="2" fontId="0" fillId="0" borderId="0" xfId="0" applyNumberFormat="1" applyAlignment="1">
      <alignment horizontal="center"/>
    </xf>
    <xf numFmtId="0" fontId="0" fillId="3" borderId="1" xfId="0" applyFill="1" applyBorder="1" applyAlignment="1">
      <alignment horizontal="center" vertical="center" wrapText="1"/>
    </xf>
    <xf numFmtId="164" fontId="0" fillId="3" borderId="1" xfId="1" applyNumberFormat="1" applyFont="1" applyFill="1" applyBorder="1" applyAlignment="1">
      <alignment horizontal="center" vertical="center" wrapText="1"/>
    </xf>
    <xf numFmtId="3" fontId="0" fillId="3" borderId="1" xfId="1" applyNumberFormat="1" applyFont="1" applyFill="1" applyBorder="1" applyAlignment="1">
      <alignment horizontal="center" vertical="center" wrapText="1"/>
    </xf>
    <xf numFmtId="2" fontId="0" fillId="3" borderId="1" xfId="1" applyNumberFormat="1" applyFont="1" applyFill="1" applyBorder="1" applyAlignment="1">
      <alignment horizontal="center" wrapText="1"/>
    </xf>
    <xf numFmtId="0" fontId="0" fillId="3" borderId="1" xfId="0" applyFill="1" applyBorder="1" applyAlignment="1">
      <alignment wrapText="1"/>
    </xf>
    <xf numFmtId="44" fontId="0" fillId="3" borderId="1" xfId="2" applyFont="1" applyFill="1" applyBorder="1" applyAlignment="1">
      <alignment wrapText="1"/>
    </xf>
    <xf numFmtId="15" fontId="0" fillId="3" borderId="1" xfId="0" applyNumberFormat="1" applyFill="1" applyBorder="1" applyAlignment="1">
      <alignment wrapText="1"/>
    </xf>
    <xf numFmtId="0" fontId="0" fillId="3" borderId="0" xfId="0" applyFill="1"/>
    <xf numFmtId="2" fontId="0" fillId="3" borderId="0" xfId="0" applyNumberFormat="1" applyFill="1" applyAlignment="1">
      <alignment horizontal="center"/>
    </xf>
    <xf numFmtId="43" fontId="0" fillId="0" borderId="0" xfId="1" applyFont="1"/>
    <xf numFmtId="164" fontId="0" fillId="0" borderId="0" xfId="0" applyNumberFormat="1"/>
    <xf numFmtId="15" fontId="0" fillId="3" borderId="1" xfId="0" applyNumberFormat="1" applyFill="1" applyBorder="1"/>
    <xf numFmtId="0" fontId="0" fillId="3" borderId="1" xfId="0" applyFill="1" applyBorder="1"/>
    <xf numFmtId="44" fontId="0" fillId="3" borderId="1" xfId="2" applyFont="1" applyFill="1" applyBorder="1"/>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3E03-5D71-4C86-AA58-956D0AC02F4A}">
  <dimension ref="A3:AC31"/>
  <sheetViews>
    <sheetView tabSelected="1" workbookViewId="0">
      <pane xSplit="2" ySplit="5" topLeftCell="C6" activePane="bottomRight" state="frozen"/>
      <selection pane="topRight" activeCell="C1" sqref="C1"/>
      <selection pane="bottomLeft" activeCell="A6" sqref="A6"/>
      <selection pane="bottomRight" activeCell="I22" sqref="I22"/>
    </sheetView>
  </sheetViews>
  <sheetFormatPr defaultRowHeight="15" x14ac:dyDescent="0.25"/>
  <cols>
    <col min="1" max="1" width="13.28515625" customWidth="1"/>
    <col min="2" max="2" width="21.5703125" customWidth="1"/>
    <col min="3" max="3" width="14.140625" style="32" customWidth="1"/>
    <col min="4" max="4" width="14.140625" customWidth="1"/>
    <col min="5" max="5" width="18.5703125" style="32" bestFit="1" customWidth="1"/>
    <col min="6" max="6" width="14.140625" customWidth="1"/>
    <col min="7" max="7" width="19.7109375" style="17" customWidth="1"/>
    <col min="8" max="11" width="14.140625" customWidth="1"/>
    <col min="12" max="12" width="14.140625" style="32" customWidth="1"/>
    <col min="13" max="13" width="14.140625" customWidth="1"/>
    <col min="14" max="14" width="21.140625" customWidth="1"/>
    <col min="15" max="15" width="18.28515625" customWidth="1"/>
    <col min="16" max="16" width="14.140625" customWidth="1"/>
    <col min="17" max="17" width="14.140625" style="32" customWidth="1"/>
    <col min="18" max="19" width="14.140625" customWidth="1"/>
    <col min="20" max="20" width="14.140625" style="32" customWidth="1"/>
    <col min="21" max="23" width="14.140625" style="17" customWidth="1"/>
    <col min="24" max="24" width="14.140625" style="32" customWidth="1"/>
    <col min="25" max="25" width="14.140625" customWidth="1"/>
    <col min="26" max="26" width="14.140625" style="32" customWidth="1"/>
    <col min="27" max="28" width="14.140625" customWidth="1"/>
    <col min="29" max="29" width="10.5703125" bestFit="1" customWidth="1"/>
  </cols>
  <sheetData>
    <row r="3" spans="1:29" x14ac:dyDescent="0.25">
      <c r="B3" s="1" t="s">
        <v>0</v>
      </c>
      <c r="C3" s="25" t="s">
        <v>7</v>
      </c>
      <c r="D3" s="2" t="s">
        <v>10</v>
      </c>
      <c r="E3" s="25" t="s">
        <v>13</v>
      </c>
      <c r="F3" s="2" t="s">
        <v>16</v>
      </c>
      <c r="G3" s="12" t="s">
        <v>18</v>
      </c>
      <c r="H3" s="2" t="s">
        <v>20</v>
      </c>
      <c r="I3" s="2" t="s">
        <v>23</v>
      </c>
      <c r="J3" s="2" t="s">
        <v>25</v>
      </c>
      <c r="K3" s="2" t="s">
        <v>28</v>
      </c>
      <c r="L3" s="25" t="s">
        <v>30</v>
      </c>
      <c r="M3" s="2" t="s">
        <v>32</v>
      </c>
      <c r="N3" s="2" t="s">
        <v>34</v>
      </c>
      <c r="O3" s="2">
        <v>21025</v>
      </c>
      <c r="P3" s="2">
        <v>21027</v>
      </c>
      <c r="Q3" s="25">
        <v>21051</v>
      </c>
      <c r="R3" s="2">
        <v>21226</v>
      </c>
      <c r="S3" s="2">
        <v>21229</v>
      </c>
      <c r="T3" s="25">
        <v>21230</v>
      </c>
      <c r="U3" s="12">
        <v>21231</v>
      </c>
      <c r="V3" s="12">
        <v>21317</v>
      </c>
      <c r="W3" s="12">
        <v>21318</v>
      </c>
      <c r="X3" s="25">
        <v>21319</v>
      </c>
      <c r="Y3" s="2">
        <v>21344</v>
      </c>
      <c r="Z3" s="25">
        <v>21383</v>
      </c>
      <c r="AA3" s="2">
        <v>21390</v>
      </c>
      <c r="AB3" s="2">
        <v>21391</v>
      </c>
    </row>
    <row r="4" spans="1:29" ht="30.75" customHeight="1" x14ac:dyDescent="0.25">
      <c r="B4" s="1" t="s">
        <v>1</v>
      </c>
      <c r="C4" s="25" t="s">
        <v>8</v>
      </c>
      <c r="D4" s="2" t="s">
        <v>11</v>
      </c>
      <c r="E4" s="25" t="s">
        <v>14</v>
      </c>
      <c r="F4" s="2" t="s">
        <v>14</v>
      </c>
      <c r="G4" s="12" t="s">
        <v>8</v>
      </c>
      <c r="H4" s="2" t="s">
        <v>21</v>
      </c>
      <c r="I4" s="2" t="s">
        <v>8</v>
      </c>
      <c r="J4" s="2" t="s">
        <v>26</v>
      </c>
      <c r="K4" s="2" t="s">
        <v>21</v>
      </c>
      <c r="L4" s="25" t="s">
        <v>8</v>
      </c>
      <c r="M4" s="2" t="s">
        <v>26</v>
      </c>
      <c r="N4" s="2" t="s">
        <v>14</v>
      </c>
      <c r="O4" s="2" t="s">
        <v>36</v>
      </c>
      <c r="P4" s="2" t="s">
        <v>38</v>
      </c>
      <c r="Q4" s="25" t="s">
        <v>40</v>
      </c>
      <c r="R4" s="2" t="s">
        <v>36</v>
      </c>
      <c r="S4" s="2" t="s">
        <v>36</v>
      </c>
      <c r="T4" s="25" t="s">
        <v>36</v>
      </c>
      <c r="U4" s="12" t="s">
        <v>36</v>
      </c>
      <c r="V4" s="12" t="s">
        <v>36</v>
      </c>
      <c r="W4" s="12" t="s">
        <v>36</v>
      </c>
      <c r="X4" s="25" t="s">
        <v>48</v>
      </c>
      <c r="Y4" s="2" t="s">
        <v>36</v>
      </c>
      <c r="Z4" s="25" t="s">
        <v>36</v>
      </c>
      <c r="AA4" s="2" t="s">
        <v>36</v>
      </c>
      <c r="AB4" s="2" t="s">
        <v>36</v>
      </c>
    </row>
    <row r="5" spans="1:29" ht="59.25" customHeight="1" x14ac:dyDescent="0.25">
      <c r="B5" s="1" t="s">
        <v>2</v>
      </c>
      <c r="C5" s="25" t="s">
        <v>9</v>
      </c>
      <c r="D5" s="2" t="s">
        <v>12</v>
      </c>
      <c r="E5" s="25" t="s">
        <v>15</v>
      </c>
      <c r="F5" s="2" t="s">
        <v>17</v>
      </c>
      <c r="G5" s="12" t="s">
        <v>19</v>
      </c>
      <c r="H5" s="2" t="s">
        <v>22</v>
      </c>
      <c r="I5" s="2" t="s">
        <v>24</v>
      </c>
      <c r="J5" s="2" t="s">
        <v>27</v>
      </c>
      <c r="K5" s="2" t="s">
        <v>29</v>
      </c>
      <c r="L5" s="25" t="s">
        <v>31</v>
      </c>
      <c r="M5" s="2" t="s">
        <v>33</v>
      </c>
      <c r="N5" s="2" t="s">
        <v>35</v>
      </c>
      <c r="O5" s="2" t="s">
        <v>37</v>
      </c>
      <c r="P5" s="2" t="s">
        <v>39</v>
      </c>
      <c r="Q5" s="25" t="s">
        <v>41</v>
      </c>
      <c r="R5" s="2" t="s">
        <v>42</v>
      </c>
      <c r="S5" s="2" t="s">
        <v>43</v>
      </c>
      <c r="T5" s="25" t="s">
        <v>44</v>
      </c>
      <c r="U5" s="12" t="s">
        <v>45</v>
      </c>
      <c r="V5" s="12" t="s">
        <v>46</v>
      </c>
      <c r="W5" s="12" t="s">
        <v>47</v>
      </c>
      <c r="X5" s="25" t="s">
        <v>49</v>
      </c>
      <c r="Y5" s="2" t="s">
        <v>50</v>
      </c>
      <c r="Z5" s="25" t="s">
        <v>51</v>
      </c>
      <c r="AA5" s="2" t="s">
        <v>52</v>
      </c>
      <c r="AB5" s="2" t="s">
        <v>53</v>
      </c>
    </row>
    <row r="6" spans="1:29" x14ac:dyDescent="0.25">
      <c r="B6" s="1" t="s">
        <v>3</v>
      </c>
      <c r="C6" s="26">
        <v>89000</v>
      </c>
      <c r="D6" s="3">
        <v>241599</v>
      </c>
      <c r="E6" s="26">
        <v>511848</v>
      </c>
      <c r="F6" s="3">
        <v>211346</v>
      </c>
      <c r="G6" s="13">
        <v>611434</v>
      </c>
      <c r="H6" s="3">
        <v>111103</v>
      </c>
      <c r="I6" s="3">
        <v>115000</v>
      </c>
      <c r="J6" s="3">
        <v>154374</v>
      </c>
      <c r="K6" s="3">
        <v>155892</v>
      </c>
      <c r="L6" s="26">
        <v>157208</v>
      </c>
      <c r="M6" s="3">
        <v>534111</v>
      </c>
      <c r="N6" s="3">
        <v>68093</v>
      </c>
      <c r="O6" s="3">
        <v>326345</v>
      </c>
      <c r="P6" s="3">
        <v>165000</v>
      </c>
      <c r="Q6" s="26">
        <v>210710</v>
      </c>
      <c r="R6" s="3">
        <v>108292</v>
      </c>
      <c r="S6" s="3">
        <v>86842</v>
      </c>
      <c r="T6" s="26">
        <v>82051</v>
      </c>
      <c r="U6" s="13">
        <v>81288</v>
      </c>
      <c r="V6" s="13">
        <v>71616</v>
      </c>
      <c r="W6" s="13">
        <v>84659</v>
      </c>
      <c r="X6" s="26">
        <v>222464</v>
      </c>
      <c r="Y6" s="3">
        <v>130736</v>
      </c>
      <c r="Z6" s="26">
        <v>79875</v>
      </c>
      <c r="AA6" s="3">
        <v>753072</v>
      </c>
      <c r="AB6" s="3">
        <v>365694</v>
      </c>
    </row>
    <row r="7" spans="1:29" x14ac:dyDescent="0.25">
      <c r="B7" s="1" t="s">
        <v>4</v>
      </c>
      <c r="C7" s="25">
        <v>1973</v>
      </c>
      <c r="D7" s="2">
        <v>1968</v>
      </c>
      <c r="E7" s="25">
        <v>1958</v>
      </c>
      <c r="F7" s="2">
        <v>2004</v>
      </c>
      <c r="G7" s="12">
        <v>1947</v>
      </c>
      <c r="H7" s="2">
        <v>1975</v>
      </c>
      <c r="I7" s="2">
        <v>1972</v>
      </c>
      <c r="J7" s="2">
        <v>1990</v>
      </c>
      <c r="K7" s="2">
        <v>1990</v>
      </c>
      <c r="L7" s="25">
        <v>1980</v>
      </c>
      <c r="M7" s="2">
        <v>2003</v>
      </c>
      <c r="N7" s="2">
        <v>1964</v>
      </c>
      <c r="O7" s="2">
        <v>1993</v>
      </c>
      <c r="P7" s="2">
        <v>1999</v>
      </c>
      <c r="Q7" s="25">
        <v>2000</v>
      </c>
      <c r="R7" s="2">
        <v>1978</v>
      </c>
      <c r="S7" s="2">
        <v>1987</v>
      </c>
      <c r="T7" s="25">
        <v>1989</v>
      </c>
      <c r="U7" s="12">
        <v>1985</v>
      </c>
      <c r="V7" s="12">
        <v>1986</v>
      </c>
      <c r="W7" s="12">
        <v>1987</v>
      </c>
      <c r="X7" s="25">
        <v>1967</v>
      </c>
      <c r="Y7" s="2">
        <v>1975</v>
      </c>
      <c r="Z7" s="25">
        <v>1975</v>
      </c>
      <c r="AA7" s="2">
        <v>2005</v>
      </c>
      <c r="AB7" s="2">
        <v>2003</v>
      </c>
    </row>
    <row r="8" spans="1:29" ht="33" customHeight="1" x14ac:dyDescent="0.25">
      <c r="B8" s="1" t="s">
        <v>5</v>
      </c>
      <c r="C8" s="26">
        <v>1113.1199999999999</v>
      </c>
      <c r="D8" s="3">
        <v>3402.8</v>
      </c>
      <c r="E8" s="26">
        <v>5900.26</v>
      </c>
      <c r="F8" s="3">
        <v>2789.8649999999998</v>
      </c>
      <c r="G8" s="13">
        <v>6739.47</v>
      </c>
      <c r="H8" s="3">
        <v>1436.2879999999998</v>
      </c>
      <c r="I8" s="3">
        <v>1122.3</v>
      </c>
      <c r="J8" s="3">
        <v>1951.67</v>
      </c>
      <c r="K8" s="3">
        <v>1929.4200000000003</v>
      </c>
      <c r="L8" s="26">
        <v>2044.3050000000001</v>
      </c>
      <c r="M8" s="3">
        <v>6100.92</v>
      </c>
      <c r="N8" s="3">
        <v>4547.0700000000006</v>
      </c>
      <c r="O8" s="4">
        <v>2392.2000000000003</v>
      </c>
      <c r="P8" s="4">
        <v>2241.2700000000004</v>
      </c>
      <c r="Q8" s="27">
        <v>2168.8599999999997</v>
      </c>
      <c r="R8" s="4">
        <v>1197.3800000000001</v>
      </c>
      <c r="S8" s="4">
        <v>1134.9649999999999</v>
      </c>
      <c r="T8" s="27">
        <v>1050.3899999999999</v>
      </c>
      <c r="U8" s="14">
        <v>1074.83</v>
      </c>
      <c r="V8" s="14">
        <v>1444.23</v>
      </c>
      <c r="W8" s="14">
        <v>1114.635</v>
      </c>
      <c r="X8" s="27">
        <v>2757.85</v>
      </c>
      <c r="Y8" s="4">
        <v>1506.8899999999999</v>
      </c>
      <c r="Z8" s="27">
        <v>1082.1449999999998</v>
      </c>
      <c r="AA8" s="4">
        <v>9767.52</v>
      </c>
      <c r="AB8" s="4">
        <v>4860.9960000000001</v>
      </c>
      <c r="AC8" s="35">
        <f>SUM(C8:AB8)</f>
        <v>72871.64899999999</v>
      </c>
    </row>
    <row r="9" spans="1:29" ht="33" customHeight="1" x14ac:dyDescent="0.25">
      <c r="B9" s="1" t="s">
        <v>6</v>
      </c>
      <c r="C9" s="27">
        <f t="shared" ref="C9:AB9" si="0">C8/1.6</f>
        <v>695.69999999999993</v>
      </c>
      <c r="D9" s="5">
        <f t="shared" si="0"/>
        <v>2126.75</v>
      </c>
      <c r="E9" s="27">
        <f t="shared" si="0"/>
        <v>3687.6624999999999</v>
      </c>
      <c r="F9" s="5">
        <f t="shared" si="0"/>
        <v>1743.6656249999999</v>
      </c>
      <c r="G9" s="14">
        <f t="shared" si="0"/>
        <v>4212.1687499999998</v>
      </c>
      <c r="H9" s="5">
        <f t="shared" si="0"/>
        <v>897.67999999999984</v>
      </c>
      <c r="I9" s="5">
        <f t="shared" si="0"/>
        <v>701.43749999999989</v>
      </c>
      <c r="J9" s="4">
        <f t="shared" si="0"/>
        <v>1219.79375</v>
      </c>
      <c r="K9" s="4">
        <f t="shared" si="0"/>
        <v>1205.8875</v>
      </c>
      <c r="L9" s="27">
        <f t="shared" si="0"/>
        <v>1277.690625</v>
      </c>
      <c r="M9" s="4">
        <f t="shared" si="0"/>
        <v>3813.0749999999998</v>
      </c>
      <c r="N9" s="4">
        <f t="shared" si="0"/>
        <v>2841.9187500000003</v>
      </c>
      <c r="O9" s="4">
        <f t="shared" si="0"/>
        <v>1495.125</v>
      </c>
      <c r="P9" s="4">
        <f t="shared" si="0"/>
        <v>1400.7937500000003</v>
      </c>
      <c r="Q9" s="27">
        <f t="shared" si="0"/>
        <v>1355.5374999999997</v>
      </c>
      <c r="R9" s="5">
        <f t="shared" si="0"/>
        <v>748.36250000000007</v>
      </c>
      <c r="S9" s="5">
        <f t="shared" si="0"/>
        <v>709.35312499999986</v>
      </c>
      <c r="T9" s="27">
        <f t="shared" si="0"/>
        <v>656.49374999999986</v>
      </c>
      <c r="U9" s="14">
        <f t="shared" si="0"/>
        <v>671.76874999999995</v>
      </c>
      <c r="V9" s="14">
        <f t="shared" si="0"/>
        <v>902.64374999999995</v>
      </c>
      <c r="W9" s="14">
        <f t="shared" si="0"/>
        <v>696.64687499999991</v>
      </c>
      <c r="X9" s="27">
        <f t="shared" si="0"/>
        <v>1723.6562499999998</v>
      </c>
      <c r="Y9" s="5">
        <f t="shared" si="0"/>
        <v>941.80624999999986</v>
      </c>
      <c r="Z9" s="27">
        <f t="shared" si="0"/>
        <v>676.34062499999982</v>
      </c>
      <c r="AA9" s="4">
        <f t="shared" si="0"/>
        <v>6104.7</v>
      </c>
      <c r="AB9" s="4">
        <f t="shared" si="0"/>
        <v>3038.1224999999999</v>
      </c>
    </row>
    <row r="10" spans="1:29" ht="33" customHeight="1" x14ac:dyDescent="0.25">
      <c r="B10" s="1" t="s">
        <v>208</v>
      </c>
      <c r="C10" s="28">
        <v>845.3</v>
      </c>
      <c r="D10" s="21">
        <v>2705.6</v>
      </c>
      <c r="E10" s="28">
        <v>4885</v>
      </c>
      <c r="F10" s="21">
        <v>2448.1</v>
      </c>
      <c r="G10" s="22">
        <v>6055</v>
      </c>
      <c r="H10" s="21">
        <v>1331.9</v>
      </c>
      <c r="I10" s="21">
        <v>907.5</v>
      </c>
      <c r="J10" s="23">
        <v>1650</v>
      </c>
      <c r="K10" s="23">
        <v>1510</v>
      </c>
      <c r="L10" s="28">
        <v>1813.8</v>
      </c>
      <c r="M10" s="23">
        <v>6205.6</v>
      </c>
      <c r="N10" s="23">
        <v>4237.5</v>
      </c>
      <c r="O10" s="24">
        <v>3282.5</v>
      </c>
      <c r="P10" s="24">
        <v>1774.4</v>
      </c>
      <c r="Q10" s="28">
        <v>1906.25</v>
      </c>
      <c r="R10" s="24">
        <v>1008.8</v>
      </c>
      <c r="S10" s="24">
        <v>906.3</v>
      </c>
      <c r="T10" s="33">
        <v>875</v>
      </c>
      <c r="U10" s="22"/>
      <c r="V10" s="22"/>
      <c r="W10" s="22"/>
      <c r="X10" s="33">
        <v>2562.5</v>
      </c>
      <c r="Y10" s="24">
        <v>1251.9000000000001</v>
      </c>
      <c r="Z10" s="28">
        <v>899.4</v>
      </c>
      <c r="AA10" s="23">
        <v>8865.6</v>
      </c>
      <c r="AB10" s="24">
        <v>4261.8999999999996</v>
      </c>
      <c r="AC10" s="34">
        <f>SUM(C10:AB10)</f>
        <v>62189.850000000013</v>
      </c>
    </row>
    <row r="11" spans="1:29" ht="144.75" hidden="1" customHeight="1" x14ac:dyDescent="0.25">
      <c r="B11" s="1" t="s">
        <v>115</v>
      </c>
      <c r="C11" s="25" t="s">
        <v>92</v>
      </c>
      <c r="D11" s="2" t="s">
        <v>93</v>
      </c>
      <c r="E11" s="25" t="s">
        <v>94</v>
      </c>
      <c r="F11" s="2" t="s">
        <v>95</v>
      </c>
      <c r="G11" s="12" t="s">
        <v>96</v>
      </c>
      <c r="H11" s="2" t="s">
        <v>97</v>
      </c>
      <c r="I11" s="2" t="s">
        <v>98</v>
      </c>
      <c r="J11" s="2" t="s">
        <v>99</v>
      </c>
      <c r="K11" s="2" t="s">
        <v>100</v>
      </c>
      <c r="L11" s="25" t="s">
        <v>101</v>
      </c>
      <c r="M11" s="2" t="s">
        <v>102</v>
      </c>
      <c r="N11" s="2" t="s">
        <v>99</v>
      </c>
      <c r="O11" s="2" t="s">
        <v>54</v>
      </c>
      <c r="P11" s="2" t="s">
        <v>55</v>
      </c>
      <c r="Q11" s="25" t="s">
        <v>56</v>
      </c>
      <c r="R11" s="2" t="s">
        <v>57</v>
      </c>
      <c r="S11" s="2" t="s">
        <v>58</v>
      </c>
      <c r="T11" s="25" t="s">
        <v>59</v>
      </c>
      <c r="U11" s="12" t="s">
        <v>60</v>
      </c>
      <c r="V11" s="12" t="s">
        <v>61</v>
      </c>
      <c r="W11" s="12" t="s">
        <v>62</v>
      </c>
      <c r="X11" s="25" t="s">
        <v>63</v>
      </c>
      <c r="Y11" s="2" t="s">
        <v>64</v>
      </c>
      <c r="Z11" s="25" t="s">
        <v>65</v>
      </c>
      <c r="AA11" s="2" t="s">
        <v>66</v>
      </c>
      <c r="AB11" s="2" t="s">
        <v>67</v>
      </c>
    </row>
    <row r="12" spans="1:29" ht="338.25" hidden="1" customHeight="1" x14ac:dyDescent="0.25">
      <c r="B12" s="1" t="s">
        <v>116</v>
      </c>
      <c r="C12" s="25"/>
      <c r="D12" s="2"/>
      <c r="E12" s="25"/>
      <c r="F12" s="2"/>
      <c r="G12" s="12"/>
      <c r="H12" s="2"/>
      <c r="I12" s="2"/>
      <c r="J12" s="2"/>
      <c r="K12" s="2"/>
      <c r="L12" s="25"/>
      <c r="M12" s="2"/>
      <c r="N12" s="2"/>
      <c r="O12" s="2" t="s">
        <v>68</v>
      </c>
      <c r="P12" s="2"/>
      <c r="Q12" s="25" t="s">
        <v>68</v>
      </c>
      <c r="R12" s="2" t="s">
        <v>69</v>
      </c>
      <c r="S12" s="2" t="s">
        <v>70</v>
      </c>
      <c r="T12" s="25" t="s">
        <v>71</v>
      </c>
      <c r="U12" s="12" t="s">
        <v>72</v>
      </c>
      <c r="V12" s="12" t="s">
        <v>73</v>
      </c>
      <c r="W12" s="12" t="s">
        <v>74</v>
      </c>
      <c r="X12" s="25" t="s">
        <v>75</v>
      </c>
      <c r="Y12" s="2" t="s">
        <v>76</v>
      </c>
      <c r="Z12" s="25" t="s">
        <v>68</v>
      </c>
      <c r="AA12" s="2" t="s">
        <v>77</v>
      </c>
      <c r="AB12" s="2"/>
    </row>
    <row r="13" spans="1:29" ht="409.5" hidden="1" x14ac:dyDescent="0.25">
      <c r="B13" s="1" t="s">
        <v>117</v>
      </c>
      <c r="C13" s="25" t="s">
        <v>103</v>
      </c>
      <c r="D13" s="2" t="s">
        <v>104</v>
      </c>
      <c r="E13" s="25" t="s">
        <v>105</v>
      </c>
      <c r="F13" s="2" t="s">
        <v>106</v>
      </c>
      <c r="G13" s="12" t="s">
        <v>107</v>
      </c>
      <c r="H13" s="2" t="s">
        <v>108</v>
      </c>
      <c r="I13" s="2" t="s">
        <v>109</v>
      </c>
      <c r="J13" s="2" t="s">
        <v>110</v>
      </c>
      <c r="K13" s="2" t="s">
        <v>111</v>
      </c>
      <c r="L13" s="25" t="s">
        <v>112</v>
      </c>
      <c r="M13" s="2" t="s">
        <v>113</v>
      </c>
      <c r="N13" s="2" t="s">
        <v>114</v>
      </c>
      <c r="O13" s="2" t="s">
        <v>78</v>
      </c>
      <c r="P13" s="2" t="s">
        <v>79</v>
      </c>
      <c r="Q13" s="25" t="s">
        <v>80</v>
      </c>
      <c r="R13" s="2" t="s">
        <v>81</v>
      </c>
      <c r="S13" s="2" t="s">
        <v>82</v>
      </c>
      <c r="T13" s="25" t="s">
        <v>83</v>
      </c>
      <c r="U13" s="12" t="s">
        <v>84</v>
      </c>
      <c r="V13" s="12" t="s">
        <v>85</v>
      </c>
      <c r="W13" s="12" t="s">
        <v>86</v>
      </c>
      <c r="X13" s="25" t="s">
        <v>87</v>
      </c>
      <c r="Y13" s="2" t="s">
        <v>88</v>
      </c>
      <c r="Z13" s="25" t="s">
        <v>89</v>
      </c>
      <c r="AA13" s="2" t="s">
        <v>90</v>
      </c>
      <c r="AB13" s="2" t="s">
        <v>91</v>
      </c>
    </row>
    <row r="14" spans="1:29" ht="7.5" customHeight="1" x14ac:dyDescent="0.25">
      <c r="B14" s="1"/>
      <c r="C14" s="25"/>
      <c r="D14" s="2"/>
      <c r="E14" s="25"/>
      <c r="F14" s="2"/>
      <c r="G14" s="12"/>
      <c r="H14" s="2"/>
      <c r="I14" s="2"/>
      <c r="J14" s="2"/>
      <c r="K14" s="2"/>
      <c r="L14" s="25"/>
      <c r="M14" s="2"/>
      <c r="N14" s="2"/>
      <c r="O14" s="2"/>
      <c r="P14" s="2"/>
      <c r="Q14" s="25"/>
      <c r="R14" s="2"/>
      <c r="S14" s="2"/>
      <c r="T14" s="25"/>
      <c r="U14" s="12"/>
      <c r="V14" s="12"/>
      <c r="W14" s="12"/>
      <c r="X14" s="25"/>
      <c r="Y14" s="2"/>
      <c r="Z14" s="25"/>
      <c r="AA14" s="2"/>
      <c r="AB14" s="2"/>
    </row>
    <row r="15" spans="1:29" x14ac:dyDescent="0.25">
      <c r="A15" t="s">
        <v>164</v>
      </c>
      <c r="B15" s="1" t="s">
        <v>165</v>
      </c>
      <c r="C15" s="25" t="s">
        <v>161</v>
      </c>
      <c r="D15" s="2" t="s">
        <v>161</v>
      </c>
      <c r="E15" s="25" t="s">
        <v>201</v>
      </c>
      <c r="F15" s="2" t="s">
        <v>161</v>
      </c>
      <c r="G15" s="12" t="s">
        <v>162</v>
      </c>
      <c r="H15" s="2" t="s">
        <v>161</v>
      </c>
      <c r="I15" s="2" t="s">
        <v>161</v>
      </c>
      <c r="J15" s="2" t="s">
        <v>161</v>
      </c>
      <c r="K15" s="2" t="s">
        <v>161</v>
      </c>
      <c r="L15" s="25" t="s">
        <v>207</v>
      </c>
      <c r="M15" s="2" t="s">
        <v>161</v>
      </c>
      <c r="N15" s="2" t="s">
        <v>203</v>
      </c>
      <c r="O15" s="2" t="s">
        <v>161</v>
      </c>
      <c r="P15" s="2" t="s">
        <v>161</v>
      </c>
      <c r="Q15" s="25" t="s">
        <v>205</v>
      </c>
      <c r="R15" s="2" t="s">
        <v>161</v>
      </c>
      <c r="S15" s="2" t="s">
        <v>161</v>
      </c>
      <c r="T15" s="25" t="s">
        <v>161</v>
      </c>
      <c r="U15" s="12"/>
      <c r="V15" s="12"/>
      <c r="W15" s="12"/>
      <c r="X15" s="25" t="s">
        <v>205</v>
      </c>
      <c r="Y15" s="2" t="s">
        <v>161</v>
      </c>
      <c r="Z15" s="25" t="s">
        <v>161</v>
      </c>
      <c r="AA15" s="2" t="s">
        <v>161</v>
      </c>
      <c r="AB15" s="2" t="s">
        <v>205</v>
      </c>
    </row>
    <row r="16" spans="1:29" x14ac:dyDescent="0.25">
      <c r="B16" s="1" t="s">
        <v>166</v>
      </c>
      <c r="C16" s="25">
        <v>0.36</v>
      </c>
      <c r="D16" s="2" t="s">
        <v>202</v>
      </c>
      <c r="E16" s="25" t="s">
        <v>204</v>
      </c>
      <c r="F16" s="2">
        <v>0.36</v>
      </c>
      <c r="G16" s="12"/>
      <c r="H16" s="2">
        <v>0.36</v>
      </c>
      <c r="I16" s="2">
        <v>0.36</v>
      </c>
      <c r="J16" s="2">
        <v>0.25</v>
      </c>
      <c r="K16" s="2" t="s">
        <v>204</v>
      </c>
      <c r="L16" s="25">
        <v>0.25</v>
      </c>
      <c r="M16" s="2">
        <v>0.48</v>
      </c>
      <c r="N16" s="2">
        <v>0.36</v>
      </c>
      <c r="O16" s="2" t="s">
        <v>206</v>
      </c>
      <c r="P16" s="2">
        <v>0.48</v>
      </c>
      <c r="Q16" s="25">
        <v>0.36</v>
      </c>
      <c r="R16" s="2">
        <v>0.36</v>
      </c>
      <c r="S16" s="2">
        <v>0.36</v>
      </c>
      <c r="T16" s="25">
        <v>0.36</v>
      </c>
      <c r="U16" s="12"/>
      <c r="V16" s="12"/>
      <c r="W16" s="12"/>
      <c r="X16" s="25">
        <v>0.36</v>
      </c>
      <c r="Y16" s="2">
        <v>0.36</v>
      </c>
      <c r="Z16" s="25">
        <v>0.36</v>
      </c>
      <c r="AA16" s="2">
        <v>0.25</v>
      </c>
      <c r="AB16" s="2">
        <v>0.36</v>
      </c>
    </row>
    <row r="17" spans="1:28" x14ac:dyDescent="0.25">
      <c r="B17" s="1" t="s">
        <v>200</v>
      </c>
      <c r="C17" s="25" t="s">
        <v>161</v>
      </c>
      <c r="D17" s="2" t="s">
        <v>161</v>
      </c>
      <c r="E17" s="25" t="s">
        <v>161</v>
      </c>
      <c r="F17" s="2" t="s">
        <v>161</v>
      </c>
      <c r="G17" s="12"/>
      <c r="H17" s="2" t="s">
        <v>161</v>
      </c>
      <c r="I17" s="2" t="s">
        <v>161</v>
      </c>
      <c r="J17" s="2" t="s">
        <v>163</v>
      </c>
      <c r="K17" s="2" t="s">
        <v>161</v>
      </c>
      <c r="L17" s="25" t="s">
        <v>163</v>
      </c>
      <c r="M17" s="2" t="s">
        <v>161</v>
      </c>
      <c r="N17" s="2" t="s">
        <v>161</v>
      </c>
      <c r="O17" s="2" t="s">
        <v>161</v>
      </c>
      <c r="P17" s="2" t="s">
        <v>161</v>
      </c>
      <c r="Q17" s="25" t="s">
        <v>161</v>
      </c>
      <c r="R17" s="2" t="s">
        <v>161</v>
      </c>
      <c r="S17" s="2" t="s">
        <v>161</v>
      </c>
      <c r="T17" s="25" t="s">
        <v>161</v>
      </c>
      <c r="U17" s="12"/>
      <c r="V17" s="12"/>
      <c r="W17" s="12"/>
      <c r="X17" s="25" t="s">
        <v>161</v>
      </c>
      <c r="Y17" s="2" t="s">
        <v>161</v>
      </c>
      <c r="Z17" s="25" t="s">
        <v>161</v>
      </c>
      <c r="AA17" s="2" t="s">
        <v>161</v>
      </c>
      <c r="AB17" s="2" t="s">
        <v>161</v>
      </c>
    </row>
    <row r="18" spans="1:28" ht="6.75" customHeight="1" x14ac:dyDescent="0.25">
      <c r="B18" s="1"/>
      <c r="C18" s="25"/>
      <c r="D18" s="2"/>
      <c r="E18" s="25"/>
      <c r="F18" s="2"/>
      <c r="G18" s="12"/>
      <c r="H18" s="2"/>
      <c r="I18" s="2"/>
      <c r="J18" s="2"/>
      <c r="K18" s="2"/>
      <c r="L18" s="25"/>
      <c r="M18" s="2"/>
      <c r="N18" s="2"/>
      <c r="O18" s="2"/>
      <c r="P18" s="2"/>
      <c r="Q18" s="25"/>
      <c r="R18" s="2"/>
      <c r="S18" s="2"/>
      <c r="T18" s="25"/>
      <c r="U18" s="12"/>
      <c r="V18" s="12"/>
      <c r="W18" s="12"/>
      <c r="X18" s="25"/>
      <c r="Y18" s="2"/>
      <c r="Z18" s="25"/>
      <c r="AA18" s="2"/>
      <c r="AB18" s="2"/>
    </row>
    <row r="19" spans="1:28" ht="30" customHeight="1" x14ac:dyDescent="0.25">
      <c r="A19" t="s">
        <v>118</v>
      </c>
      <c r="B19" s="1" t="s">
        <v>160</v>
      </c>
      <c r="C19" s="25" t="s">
        <v>161</v>
      </c>
      <c r="D19" s="2" t="s">
        <v>161</v>
      </c>
      <c r="E19" s="25" t="s">
        <v>161</v>
      </c>
      <c r="F19" s="2" t="s">
        <v>161</v>
      </c>
      <c r="G19" s="12" t="s">
        <v>161</v>
      </c>
      <c r="H19" s="2" t="s">
        <v>186</v>
      </c>
      <c r="I19" s="2" t="s">
        <v>161</v>
      </c>
      <c r="J19" s="2" t="s">
        <v>161</v>
      </c>
      <c r="K19" s="2" t="s">
        <v>161</v>
      </c>
      <c r="L19" s="25" t="s">
        <v>161</v>
      </c>
      <c r="M19" s="2" t="s">
        <v>161</v>
      </c>
      <c r="N19" s="2" t="s">
        <v>161</v>
      </c>
      <c r="O19" s="2" t="s">
        <v>161</v>
      </c>
      <c r="P19" s="2" t="s">
        <v>161</v>
      </c>
      <c r="Q19" s="25" t="s">
        <v>161</v>
      </c>
      <c r="R19" s="2" t="s">
        <v>161</v>
      </c>
      <c r="S19" s="2" t="s">
        <v>161</v>
      </c>
      <c r="T19" s="25" t="s">
        <v>161</v>
      </c>
      <c r="U19" s="12" t="s">
        <v>162</v>
      </c>
      <c r="V19" s="12" t="s">
        <v>163</v>
      </c>
      <c r="W19" s="12" t="s">
        <v>163</v>
      </c>
      <c r="X19" s="25" t="s">
        <v>161</v>
      </c>
      <c r="Y19" s="2" t="s">
        <v>161</v>
      </c>
      <c r="Z19" s="25" t="s">
        <v>161</v>
      </c>
      <c r="AA19" s="2" t="s">
        <v>161</v>
      </c>
      <c r="AB19" s="2" t="s">
        <v>161</v>
      </c>
    </row>
    <row r="20" spans="1:28" ht="30" customHeight="1" x14ac:dyDescent="0.25">
      <c r="B20" s="1" t="s">
        <v>119</v>
      </c>
      <c r="C20" s="37" t="s">
        <v>135</v>
      </c>
      <c r="D20" s="6" t="s">
        <v>167</v>
      </c>
      <c r="E20" s="37" t="s">
        <v>179</v>
      </c>
      <c r="F20" s="6" t="s">
        <v>183</v>
      </c>
      <c r="G20" s="18" t="s">
        <v>142</v>
      </c>
      <c r="H20" s="6" t="s">
        <v>179</v>
      </c>
      <c r="I20" s="6" t="s">
        <v>168</v>
      </c>
      <c r="J20" s="6" t="s">
        <v>179</v>
      </c>
      <c r="K20" s="6" t="s">
        <v>21</v>
      </c>
      <c r="L20" s="37" t="s">
        <v>195</v>
      </c>
      <c r="M20" s="9" t="s">
        <v>195</v>
      </c>
      <c r="N20" s="9" t="s">
        <v>139</v>
      </c>
      <c r="O20" s="9" t="s">
        <v>146</v>
      </c>
      <c r="P20" s="9" t="s">
        <v>149</v>
      </c>
      <c r="Q20" s="29" t="s">
        <v>168</v>
      </c>
      <c r="R20" s="9" t="s">
        <v>168</v>
      </c>
      <c r="S20" s="9" t="s">
        <v>130</v>
      </c>
      <c r="T20" s="25" t="s">
        <v>152</v>
      </c>
      <c r="U20" s="15"/>
      <c r="V20" s="15"/>
      <c r="W20" s="15"/>
      <c r="X20" s="29" t="s">
        <v>130</v>
      </c>
      <c r="Y20" s="9" t="s">
        <v>173</v>
      </c>
      <c r="Z20" s="29" t="s">
        <v>167</v>
      </c>
      <c r="AA20" s="2" t="s">
        <v>154</v>
      </c>
      <c r="AB20" s="9" t="s">
        <v>157</v>
      </c>
    </row>
    <row r="21" spans="1:28" ht="30" customHeight="1" x14ac:dyDescent="0.25">
      <c r="B21" s="1" t="s">
        <v>120</v>
      </c>
      <c r="C21" s="25" t="s">
        <v>136</v>
      </c>
      <c r="D21" s="6" t="s">
        <v>143</v>
      </c>
      <c r="E21" s="37" t="s">
        <v>180</v>
      </c>
      <c r="F21" s="6" t="s">
        <v>184</v>
      </c>
      <c r="G21" s="12" t="s">
        <v>143</v>
      </c>
      <c r="H21" s="6" t="s">
        <v>187</v>
      </c>
      <c r="I21" s="6" t="s">
        <v>189</v>
      </c>
      <c r="J21" s="6" t="s">
        <v>191</v>
      </c>
      <c r="K21" s="6" t="s">
        <v>193</v>
      </c>
      <c r="L21" s="37" t="s">
        <v>196</v>
      </c>
      <c r="M21" s="9" t="s">
        <v>198</v>
      </c>
      <c r="N21" s="2" t="s">
        <v>140</v>
      </c>
      <c r="O21" s="2" t="s">
        <v>147</v>
      </c>
      <c r="P21" s="2" t="s">
        <v>150</v>
      </c>
      <c r="Q21" s="29" t="s">
        <v>169</v>
      </c>
      <c r="R21" s="9" t="s">
        <v>171</v>
      </c>
      <c r="S21" s="2" t="s">
        <v>131</v>
      </c>
      <c r="T21" s="25" t="s">
        <v>131</v>
      </c>
      <c r="U21" s="15"/>
      <c r="V21" s="15"/>
      <c r="W21" s="15"/>
      <c r="X21" s="25" t="s">
        <v>134</v>
      </c>
      <c r="Y21" s="9" t="s">
        <v>174</v>
      </c>
      <c r="Z21" s="29" t="s">
        <v>176</v>
      </c>
      <c r="AA21" s="2" t="s">
        <v>155</v>
      </c>
      <c r="AB21" s="2" t="s">
        <v>158</v>
      </c>
    </row>
    <row r="22" spans="1:28" ht="30" customHeight="1" x14ac:dyDescent="0.25">
      <c r="B22" s="1" t="s">
        <v>122</v>
      </c>
      <c r="C22" s="25" t="s">
        <v>137</v>
      </c>
      <c r="D22" s="6" t="s">
        <v>178</v>
      </c>
      <c r="E22" s="37" t="s">
        <v>182</v>
      </c>
      <c r="F22" s="6" t="s">
        <v>185</v>
      </c>
      <c r="G22" s="12" t="s">
        <v>145</v>
      </c>
      <c r="H22" s="6" t="s">
        <v>188</v>
      </c>
      <c r="I22" s="6" t="s">
        <v>190</v>
      </c>
      <c r="J22" s="6" t="s">
        <v>192</v>
      </c>
      <c r="K22" s="6" t="s">
        <v>194</v>
      </c>
      <c r="L22" s="37" t="s">
        <v>197</v>
      </c>
      <c r="M22" s="9" t="s">
        <v>199</v>
      </c>
      <c r="N22" s="2" t="s">
        <v>141</v>
      </c>
      <c r="O22" s="2" t="s">
        <v>148</v>
      </c>
      <c r="P22" s="2" t="s">
        <v>151</v>
      </c>
      <c r="Q22" s="29" t="s">
        <v>170</v>
      </c>
      <c r="R22" s="9" t="s">
        <v>172</v>
      </c>
      <c r="S22" s="2" t="s">
        <v>132</v>
      </c>
      <c r="T22" s="25" t="s">
        <v>153</v>
      </c>
      <c r="U22" s="15"/>
      <c r="V22" s="15"/>
      <c r="W22" s="15"/>
      <c r="X22" s="25" t="s">
        <v>132</v>
      </c>
      <c r="Y22" s="9" t="s">
        <v>175</v>
      </c>
      <c r="Z22" s="29" t="s">
        <v>177</v>
      </c>
      <c r="AA22" s="2" t="s">
        <v>156</v>
      </c>
      <c r="AB22" s="2" t="s">
        <v>159</v>
      </c>
    </row>
    <row r="23" spans="1:28" ht="30" customHeight="1" x14ac:dyDescent="0.25">
      <c r="B23" s="1" t="s">
        <v>121</v>
      </c>
      <c r="C23" s="25" t="s">
        <v>138</v>
      </c>
      <c r="D23" s="6" t="s">
        <v>138</v>
      </c>
      <c r="E23" s="37" t="s">
        <v>181</v>
      </c>
      <c r="F23" s="6" t="s">
        <v>181</v>
      </c>
      <c r="G23" s="12" t="s">
        <v>144</v>
      </c>
      <c r="H23" s="6" t="s">
        <v>138</v>
      </c>
      <c r="I23" s="6" t="s">
        <v>138</v>
      </c>
      <c r="J23" s="6" t="s">
        <v>138</v>
      </c>
      <c r="K23" s="6" t="s">
        <v>138</v>
      </c>
      <c r="L23" s="37" t="s">
        <v>138</v>
      </c>
      <c r="M23" s="9" t="s">
        <v>138</v>
      </c>
      <c r="N23" s="2" t="s">
        <v>138</v>
      </c>
      <c r="O23" s="2" t="s">
        <v>138</v>
      </c>
      <c r="P23" s="2" t="s">
        <v>138</v>
      </c>
      <c r="Q23" s="29" t="s">
        <v>138</v>
      </c>
      <c r="R23" s="9" t="s">
        <v>138</v>
      </c>
      <c r="S23" s="2" t="s">
        <v>133</v>
      </c>
      <c r="T23" s="25" t="s">
        <v>138</v>
      </c>
      <c r="U23" s="15"/>
      <c r="V23" s="15"/>
      <c r="W23" s="15"/>
      <c r="X23" s="25" t="s">
        <v>133</v>
      </c>
      <c r="Y23" s="9" t="s">
        <v>138</v>
      </c>
      <c r="Z23" s="29" t="s">
        <v>138</v>
      </c>
      <c r="AA23" s="2" t="s">
        <v>138</v>
      </c>
      <c r="AB23" s="2" t="s">
        <v>138</v>
      </c>
    </row>
    <row r="24" spans="1:28" ht="30" customHeight="1" x14ac:dyDescent="0.25">
      <c r="B24" s="1" t="s">
        <v>123</v>
      </c>
      <c r="C24" s="38">
        <v>460000</v>
      </c>
      <c r="D24" s="7">
        <v>470000</v>
      </c>
      <c r="E24" s="38">
        <v>630000</v>
      </c>
      <c r="F24" s="7">
        <v>470000</v>
      </c>
      <c r="G24" s="19">
        <v>610000</v>
      </c>
      <c r="H24" s="7">
        <v>460000</v>
      </c>
      <c r="I24" s="7">
        <v>320000</v>
      </c>
      <c r="J24" s="7">
        <v>460000</v>
      </c>
      <c r="K24" s="7">
        <v>320000</v>
      </c>
      <c r="L24" s="38">
        <v>320000</v>
      </c>
      <c r="M24" s="10">
        <v>610000</v>
      </c>
      <c r="N24" s="10">
        <v>540000</v>
      </c>
      <c r="O24" s="10">
        <v>420000</v>
      </c>
      <c r="P24" s="10">
        <v>420000</v>
      </c>
      <c r="Q24" s="30">
        <v>320000</v>
      </c>
      <c r="R24" s="10">
        <v>460000</v>
      </c>
      <c r="S24" s="10">
        <v>460000</v>
      </c>
      <c r="T24" s="30">
        <v>460000</v>
      </c>
      <c r="U24" s="16"/>
      <c r="V24" s="16"/>
      <c r="W24" s="16"/>
      <c r="X24" s="30">
        <v>460000</v>
      </c>
      <c r="Y24" s="10">
        <v>330000</v>
      </c>
      <c r="Z24" s="30">
        <v>460000</v>
      </c>
      <c r="AA24" s="10">
        <v>610000</v>
      </c>
      <c r="AB24" s="10">
        <v>340000</v>
      </c>
    </row>
    <row r="25" spans="1:28" ht="30" customHeight="1" x14ac:dyDescent="0.25">
      <c r="B25" s="1" t="s">
        <v>124</v>
      </c>
      <c r="C25" s="38">
        <v>0</v>
      </c>
      <c r="D25" s="7">
        <v>2080000</v>
      </c>
      <c r="E25" s="38"/>
      <c r="F25" s="7"/>
      <c r="G25" s="19">
        <v>1390000</v>
      </c>
      <c r="H25" s="7"/>
      <c r="I25" s="7"/>
      <c r="J25" s="7"/>
      <c r="K25" s="7">
        <v>2080000</v>
      </c>
      <c r="L25" s="38"/>
      <c r="M25" s="10"/>
      <c r="N25" s="10">
        <v>0</v>
      </c>
      <c r="O25" s="10"/>
      <c r="P25" s="10"/>
      <c r="Q25" s="30"/>
      <c r="R25" s="10"/>
      <c r="S25" s="10">
        <v>0</v>
      </c>
      <c r="T25" s="30"/>
      <c r="U25" s="16"/>
      <c r="V25" s="16"/>
      <c r="W25" s="16"/>
      <c r="X25" s="30">
        <v>0</v>
      </c>
      <c r="Y25" s="10"/>
      <c r="Z25" s="30"/>
      <c r="AA25" s="10">
        <v>2080000</v>
      </c>
      <c r="AB25" s="10"/>
    </row>
    <row r="26" spans="1:28" ht="30" customHeight="1" x14ac:dyDescent="0.25">
      <c r="B26" s="1" t="s">
        <v>125</v>
      </c>
      <c r="C26" s="38">
        <v>0</v>
      </c>
      <c r="D26" s="7"/>
      <c r="E26" s="38"/>
      <c r="F26" s="7"/>
      <c r="G26" s="19"/>
      <c r="H26" s="7"/>
      <c r="I26" s="7"/>
      <c r="J26" s="7"/>
      <c r="K26" s="7"/>
      <c r="L26" s="38"/>
      <c r="M26" s="10">
        <v>530000</v>
      </c>
      <c r="N26" s="10">
        <v>0</v>
      </c>
      <c r="O26" s="10"/>
      <c r="P26" s="10"/>
      <c r="Q26" s="30"/>
      <c r="R26" s="10"/>
      <c r="S26" s="10">
        <v>0</v>
      </c>
      <c r="T26" s="30"/>
      <c r="U26" s="16"/>
      <c r="V26" s="16"/>
      <c r="W26" s="16"/>
      <c r="X26" s="30">
        <v>0</v>
      </c>
      <c r="Y26" s="10"/>
      <c r="Z26" s="30"/>
      <c r="AA26" s="10"/>
      <c r="AB26" s="10">
        <v>530000</v>
      </c>
    </row>
    <row r="27" spans="1:28" ht="30" customHeight="1" x14ac:dyDescent="0.25">
      <c r="B27" s="1" t="s">
        <v>126</v>
      </c>
      <c r="C27" s="38">
        <v>0</v>
      </c>
      <c r="D27" s="7"/>
      <c r="E27" s="38">
        <v>2590000</v>
      </c>
      <c r="F27" s="7">
        <v>2590000</v>
      </c>
      <c r="G27" s="19"/>
      <c r="H27" s="7"/>
      <c r="I27" s="7"/>
      <c r="J27" s="7"/>
      <c r="K27" s="7"/>
      <c r="L27" s="38"/>
      <c r="M27" s="10">
        <v>2530000</v>
      </c>
      <c r="N27" s="10">
        <v>2690000</v>
      </c>
      <c r="O27" s="10">
        <v>2530000</v>
      </c>
      <c r="P27" s="10">
        <v>2800000</v>
      </c>
      <c r="Q27" s="30">
        <v>2080000</v>
      </c>
      <c r="R27" s="10"/>
      <c r="S27" s="10">
        <v>0</v>
      </c>
      <c r="T27" s="30"/>
      <c r="U27" s="16"/>
      <c r="V27" s="16"/>
      <c r="W27" s="16"/>
      <c r="X27" s="30">
        <v>0</v>
      </c>
      <c r="Y27" s="10"/>
      <c r="Z27" s="30"/>
      <c r="AA27" s="10"/>
      <c r="AB27" s="10">
        <v>2350000</v>
      </c>
    </row>
    <row r="28" spans="1:28" ht="30" customHeight="1" x14ac:dyDescent="0.25">
      <c r="B28" s="1" t="s">
        <v>209</v>
      </c>
      <c r="C28" s="38">
        <f>SUM(C24:C27)</f>
        <v>460000</v>
      </c>
      <c r="D28" s="7">
        <f t="shared" ref="D28:AB28" si="1">SUM(D24:D27)</f>
        <v>2550000</v>
      </c>
      <c r="E28" s="38">
        <f t="shared" si="1"/>
        <v>3220000</v>
      </c>
      <c r="F28" s="7">
        <f t="shared" si="1"/>
        <v>3060000</v>
      </c>
      <c r="G28" s="19">
        <f t="shared" si="1"/>
        <v>2000000</v>
      </c>
      <c r="H28" s="7">
        <f t="shared" si="1"/>
        <v>460000</v>
      </c>
      <c r="I28" s="7">
        <f t="shared" si="1"/>
        <v>320000</v>
      </c>
      <c r="J28" s="7">
        <f t="shared" si="1"/>
        <v>460000</v>
      </c>
      <c r="K28" s="7">
        <f t="shared" si="1"/>
        <v>2400000</v>
      </c>
      <c r="L28" s="38">
        <f t="shared" si="1"/>
        <v>320000</v>
      </c>
      <c r="M28" s="10">
        <f t="shared" si="1"/>
        <v>3670000</v>
      </c>
      <c r="N28" s="10">
        <f t="shared" si="1"/>
        <v>3230000</v>
      </c>
      <c r="O28" s="10">
        <f t="shared" si="1"/>
        <v>2950000</v>
      </c>
      <c r="P28" s="10">
        <f t="shared" si="1"/>
        <v>3220000</v>
      </c>
      <c r="Q28" s="30">
        <f t="shared" si="1"/>
        <v>2400000</v>
      </c>
      <c r="R28" s="10">
        <f t="shared" si="1"/>
        <v>460000</v>
      </c>
      <c r="S28" s="10">
        <f t="shared" si="1"/>
        <v>460000</v>
      </c>
      <c r="T28" s="30">
        <f t="shared" si="1"/>
        <v>460000</v>
      </c>
      <c r="U28" s="16">
        <f t="shared" si="1"/>
        <v>0</v>
      </c>
      <c r="V28" s="16">
        <f t="shared" si="1"/>
        <v>0</v>
      </c>
      <c r="W28" s="16">
        <f t="shared" si="1"/>
        <v>0</v>
      </c>
      <c r="X28" s="30">
        <f t="shared" si="1"/>
        <v>460000</v>
      </c>
      <c r="Y28" s="10">
        <f t="shared" si="1"/>
        <v>330000</v>
      </c>
      <c r="Z28" s="30">
        <f t="shared" si="1"/>
        <v>460000</v>
      </c>
      <c r="AA28" s="10">
        <f t="shared" si="1"/>
        <v>2690000</v>
      </c>
      <c r="AB28" s="10">
        <f t="shared" si="1"/>
        <v>3220000</v>
      </c>
    </row>
    <row r="29" spans="1:28" ht="30" customHeight="1" x14ac:dyDescent="0.25">
      <c r="B29" s="1" t="s">
        <v>127</v>
      </c>
      <c r="C29" s="37">
        <v>18</v>
      </c>
      <c r="D29" s="6">
        <v>26</v>
      </c>
      <c r="E29" s="37">
        <v>30</v>
      </c>
      <c r="F29" s="6">
        <v>30</v>
      </c>
      <c r="G29" s="18">
        <v>26</v>
      </c>
      <c r="H29" s="6">
        <v>18</v>
      </c>
      <c r="I29" s="6">
        <v>18</v>
      </c>
      <c r="J29" s="6">
        <v>18</v>
      </c>
      <c r="K29" s="6">
        <v>26</v>
      </c>
      <c r="L29" s="37">
        <v>18</v>
      </c>
      <c r="M29" s="9">
        <v>30</v>
      </c>
      <c r="N29" s="9">
        <v>30</v>
      </c>
      <c r="O29" s="9">
        <v>30</v>
      </c>
      <c r="P29" s="9">
        <v>30</v>
      </c>
      <c r="Q29" s="29">
        <v>26</v>
      </c>
      <c r="R29" s="9">
        <v>18</v>
      </c>
      <c r="S29" s="9">
        <v>18</v>
      </c>
      <c r="T29" s="29">
        <v>18</v>
      </c>
      <c r="U29" s="15"/>
      <c r="V29" s="15"/>
      <c r="W29" s="15"/>
      <c r="X29" s="29">
        <v>18</v>
      </c>
      <c r="Y29" s="9">
        <v>12</v>
      </c>
      <c r="Z29" s="29">
        <v>18</v>
      </c>
      <c r="AA29" s="9">
        <v>26</v>
      </c>
      <c r="AB29" s="9">
        <v>30</v>
      </c>
    </row>
    <row r="30" spans="1:28" ht="30" customHeight="1" x14ac:dyDescent="0.25">
      <c r="B30" s="1" t="s">
        <v>128</v>
      </c>
      <c r="C30" s="36">
        <v>47058</v>
      </c>
      <c r="D30" s="8">
        <v>46935</v>
      </c>
      <c r="E30" s="36">
        <v>47423</v>
      </c>
      <c r="F30" s="8">
        <v>47423</v>
      </c>
      <c r="G30" s="20">
        <v>47300</v>
      </c>
      <c r="H30" s="8">
        <v>47058</v>
      </c>
      <c r="I30" s="8">
        <v>47058</v>
      </c>
      <c r="J30" s="8">
        <v>47058</v>
      </c>
      <c r="K30" s="8">
        <v>47300</v>
      </c>
      <c r="L30" s="36">
        <v>47058</v>
      </c>
      <c r="M30" s="11">
        <v>47423</v>
      </c>
      <c r="N30" s="11">
        <v>47423</v>
      </c>
      <c r="O30" s="11">
        <v>47423</v>
      </c>
      <c r="P30" s="11">
        <v>47423</v>
      </c>
      <c r="Q30" s="36">
        <v>47300</v>
      </c>
      <c r="R30" s="11">
        <v>47058</v>
      </c>
      <c r="S30" s="11">
        <v>47058</v>
      </c>
      <c r="T30" s="31">
        <v>47058</v>
      </c>
      <c r="U30" s="15"/>
      <c r="V30" s="15"/>
      <c r="W30" s="15"/>
      <c r="X30" s="31">
        <v>47058</v>
      </c>
      <c r="Y30" s="11">
        <v>46905</v>
      </c>
      <c r="Z30" s="31">
        <v>47058</v>
      </c>
      <c r="AA30" s="11">
        <v>47300</v>
      </c>
      <c r="AB30" s="11">
        <v>47423</v>
      </c>
    </row>
    <row r="31" spans="1:28" ht="30" customHeight="1" x14ac:dyDescent="0.25">
      <c r="B31" s="1" t="s">
        <v>129</v>
      </c>
      <c r="C31" s="36">
        <v>47088</v>
      </c>
      <c r="D31" s="8">
        <v>46966</v>
      </c>
      <c r="E31" s="36">
        <v>47453</v>
      </c>
      <c r="F31" s="8">
        <v>47453</v>
      </c>
      <c r="G31" s="20">
        <v>47331</v>
      </c>
      <c r="H31" s="8">
        <v>47088</v>
      </c>
      <c r="I31" s="8">
        <v>47088</v>
      </c>
      <c r="J31" s="8">
        <v>47088</v>
      </c>
      <c r="K31" s="8">
        <v>47331</v>
      </c>
      <c r="L31" s="36">
        <v>47088</v>
      </c>
      <c r="M31" s="11">
        <v>47453</v>
      </c>
      <c r="N31" s="11">
        <v>47453</v>
      </c>
      <c r="O31" s="11">
        <v>47453</v>
      </c>
      <c r="P31" s="11">
        <v>47453</v>
      </c>
      <c r="Q31" s="31">
        <v>46966</v>
      </c>
      <c r="R31" s="11">
        <v>47088</v>
      </c>
      <c r="S31" s="11">
        <v>47088</v>
      </c>
      <c r="T31" s="31">
        <v>47088</v>
      </c>
      <c r="U31" s="15"/>
      <c r="V31" s="15"/>
      <c r="W31" s="15"/>
      <c r="X31" s="31">
        <v>47088</v>
      </c>
      <c r="Y31" s="11">
        <v>46935</v>
      </c>
      <c r="Z31" s="31">
        <v>47088</v>
      </c>
      <c r="AA31" s="11">
        <v>47331</v>
      </c>
      <c r="AB31" s="11">
        <v>47453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Pagonis</dc:creator>
  <cp:lastModifiedBy>James Pagonis</cp:lastModifiedBy>
  <dcterms:created xsi:type="dcterms:W3CDTF">2025-12-04T22:10:55Z</dcterms:created>
  <dcterms:modified xsi:type="dcterms:W3CDTF">2026-01-07T01:39:11Z</dcterms:modified>
</cp:coreProperties>
</file>