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lcab.sharepoint.com/sites/kwhquebec/Shared Documents/Dream/"/>
    </mc:Choice>
  </mc:AlternateContent>
  <xr:revisionPtr revIDLastSave="361" documentId="13_ncr:1_{0030DDD5-DD0F-461A-9328-08B9847E143E}" xr6:coauthVersionLast="47" xr6:coauthVersionMax="47" xr10:uidLastSave="{8A9FF5AD-D7AD-47DC-B469-1880DE4557E9}"/>
  <bookViews>
    <workbookView xWindow="28680" yWindow="-120" windowWidth="29040" windowHeight="15840" firstSheet="1" activeTab="1" xr2:uid="{4988A614-C5CD-4C5F-95D5-2614D77BC25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2" l="1"/>
  <c r="C45" i="2"/>
  <c r="C47" i="2"/>
  <c r="C48" i="2"/>
  <c r="D45" i="2"/>
  <c r="D47" i="2" s="1"/>
  <c r="D48" i="2" s="1"/>
  <c r="E45" i="2"/>
  <c r="E47" i="2" s="1"/>
  <c r="E48" i="2" s="1"/>
  <c r="F45" i="2"/>
  <c r="F47" i="2" s="1"/>
  <c r="F48" i="2" s="1"/>
  <c r="G45" i="2"/>
  <c r="G47" i="2" s="1"/>
  <c r="G48" i="2" s="1"/>
  <c r="H45" i="2"/>
  <c r="H47" i="2" s="1"/>
  <c r="H48" i="2" s="1"/>
  <c r="I45" i="2"/>
  <c r="I47" i="2" s="1"/>
  <c r="I48" i="2" s="1"/>
  <c r="J45" i="2"/>
  <c r="J47" i="2" s="1"/>
  <c r="J48" i="2" s="1"/>
  <c r="K45" i="2"/>
  <c r="K47" i="2" s="1"/>
  <c r="K48" i="2" s="1"/>
  <c r="L45" i="2"/>
  <c r="L47" i="2" s="1"/>
  <c r="L48" i="2" s="1"/>
  <c r="M45" i="2"/>
  <c r="M47" i="2" s="1"/>
  <c r="M48" i="2" s="1"/>
  <c r="N45" i="2"/>
  <c r="N47" i="2" s="1"/>
  <c r="N48" i="2" s="1"/>
  <c r="O45" i="2"/>
  <c r="O47" i="2" s="1"/>
  <c r="O48" i="2" s="1"/>
  <c r="P45" i="2"/>
  <c r="P47" i="2" s="1"/>
  <c r="P48" i="2" s="1"/>
  <c r="Q45" i="2"/>
  <c r="Q47" i="2" s="1"/>
  <c r="Q48" i="2" s="1"/>
  <c r="R45" i="2"/>
  <c r="R47" i="2" s="1"/>
  <c r="R48" i="2" s="1"/>
  <c r="S45" i="2"/>
  <c r="S47" i="2" s="1"/>
  <c r="S48" i="2" s="1"/>
  <c r="T45" i="2"/>
  <c r="T47" i="2" s="1"/>
  <c r="T48" i="2" s="1"/>
  <c r="X45" i="2"/>
  <c r="X47" i="2" s="1"/>
  <c r="X48" i="2" s="1"/>
  <c r="Y45" i="2"/>
  <c r="Y47" i="2" s="1"/>
  <c r="Y48" i="2" s="1"/>
  <c r="Z45" i="2"/>
  <c r="Z47" i="2" s="1"/>
  <c r="Z48" i="2" s="1"/>
  <c r="AA45" i="2"/>
  <c r="AA47" i="2" s="1"/>
  <c r="AA48" i="2" s="1"/>
  <c r="AB45" i="2"/>
  <c r="AB47" i="2" s="1"/>
  <c r="AB48" i="2" s="1"/>
  <c r="D31" i="2"/>
  <c r="E31" i="2"/>
  <c r="F31" i="2"/>
  <c r="G31" i="2"/>
  <c r="H31" i="2"/>
  <c r="I31" i="2"/>
  <c r="J31" i="2"/>
  <c r="K31" i="2"/>
  <c r="L31" i="2"/>
  <c r="M31" i="2"/>
  <c r="N31" i="2"/>
  <c r="O31" i="2"/>
  <c r="P31" i="2"/>
  <c r="Q31" i="2"/>
  <c r="R31" i="2"/>
  <c r="S31" i="2"/>
  <c r="T31" i="2"/>
  <c r="U31" i="2"/>
  <c r="V31" i="2"/>
  <c r="W31" i="2"/>
  <c r="X31" i="2"/>
  <c r="Y31" i="2"/>
  <c r="Z31" i="2"/>
  <c r="AA31" i="2"/>
  <c r="AB31" i="2"/>
  <c r="AB10" i="2"/>
  <c r="AA10" i="2"/>
  <c r="Z10" i="2"/>
  <c r="Y10" i="2"/>
  <c r="X10" i="2"/>
  <c r="W10" i="2"/>
  <c r="V10" i="2"/>
  <c r="U10" i="2"/>
  <c r="T10" i="2"/>
  <c r="S10" i="2"/>
  <c r="R10" i="2"/>
  <c r="Q10" i="2"/>
  <c r="P10" i="2"/>
  <c r="O10" i="2"/>
  <c r="N10" i="2"/>
  <c r="M10" i="2"/>
  <c r="L10" i="2"/>
  <c r="K10" i="2"/>
  <c r="J10" i="2"/>
  <c r="I10" i="2"/>
  <c r="H10" i="2"/>
  <c r="G10" i="2"/>
  <c r="F10" i="2"/>
  <c r="E10" i="2"/>
  <c r="D10" i="2"/>
  <c r="C10" i="2"/>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tc={F8B74146-30A1-4544-9F41-80F6A12A8D99}</author>
    <author>tc={2AE207A8-0E40-4C75-BEFF-D1EC101457B6}</author>
    <author>tc={AC542A19-82FC-46B1-8C3F-01F669102011}</author>
    <author>tc={4983BBAE-ED82-4E62-8297-CF2132482E7A}</author>
    <author>tc={9A324926-7456-4F7C-97C4-4D338A0D8036}</author>
    <author>tc={C5CA9B7A-C0BC-4EB5-A1FC-5B2AF2E9DCEE}</author>
    <author>tc={D908E4E9-D559-44D5-A9F8-63A7B9D7F07D}</author>
    <author>tc={91468D06-BC13-4FE1-83FF-86CAC1A800D7}</author>
    <author>tc={2FF9B28F-37A6-4152-B4E9-A9FA1A067E9E}</author>
  </authors>
  <commentList>
    <comment ref="H2" authorId="0" shapeId="0" xr:uid="{F8B74146-30A1-4544-9F41-80F6A12A8D99}">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 ref="H7" authorId="1" shapeId="0" xr:uid="{2AE207A8-0E40-4C75-BEFF-D1EC101457B6}">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 ref="H8" authorId="2" shapeId="0" xr:uid="{AC542A19-82FC-46B1-8C3F-01F669102011}">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 ref="H17" authorId="3" shapeId="0" xr:uid="{4983BBAE-ED82-4E62-8297-CF2132482E7A}">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 ref="H18" authorId="4" shapeId="0" xr:uid="{9A324926-7456-4F7C-97C4-4D338A0D8036}">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 ref="H19" authorId="5" shapeId="0" xr:uid="{C5CA9B7A-C0BC-4EB5-A1FC-5B2AF2E9DCEE}">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 ref="H20" authorId="6" shapeId="0" xr:uid="{D908E4E9-D559-44D5-A9F8-63A7B9D7F07D}">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 ref="H22" authorId="7" shapeId="0" xr:uid="{91468D06-BC13-4FE1-83FF-86CAC1A800D7}">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 ref="H25" authorId="8" shapeId="0" xr:uid="{2FF9B28F-37A6-4152-B4E9-A9FA1A067E9E}">
      <text>
        <t>[Threaded comment]
Your version of Excel allows you to read this threaded comment; however, any edits to it will get removed if the file is opened in a newer version of Excel. Learn more: https://go.microsoft.com/fwlink/?linkid=870924
Comment:
    Will likely need to upsize inverter capacity to meet 0.7MW minimum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James Pagonis</author>
  </authors>
  <commentList>
    <comment ref="B10" authorId="0" shapeId="0" xr:uid="{CAEA0D6A-CD4D-4B85-9A37-2B941DE60AB4}">
      <text>
        <r>
          <rPr>
            <sz val="11"/>
            <color theme="1"/>
            <rFont val="Aptos Narrow"/>
            <family val="2"/>
            <scheme val="minor"/>
          </rPr>
          <t xml:space="preserve">James Pagonis:
DOt approved size
</t>
        </r>
      </text>
    </comment>
    <comment ref="B23" authorId="0" shapeId="0" xr:uid="{D3037239-27AD-4478-BC1E-32A452171428}">
      <text>
        <r>
          <rPr>
            <sz val="11"/>
            <color theme="1"/>
            <rFont val="Aptos Narrow"/>
            <family val="2"/>
            <scheme val="minor"/>
          </rPr>
          <t>James Pagonis:
Add dot reference #s</t>
        </r>
      </text>
    </comment>
    <comment ref="B24" authorId="0" shapeId="0" xr:uid="{B5087F2D-3D6E-4617-8CAA-F3E55F5B9155}">
      <text>
        <r>
          <rPr>
            <sz val="11"/>
            <color theme="1"/>
            <rFont val="Aptos Narrow"/>
            <family val="2"/>
            <scheme val="minor"/>
          </rPr>
          <t xml:space="preserve">James Pagonis:
Clarify Connection point
</t>
        </r>
      </text>
    </comment>
  </commentList>
</comments>
</file>

<file path=xl/sharedStrings.xml><?xml version="1.0" encoding="utf-8"?>
<sst xmlns="http://schemas.openxmlformats.org/spreadsheetml/2006/main" count="558" uniqueCount="288">
  <si>
    <t>BU</t>
  </si>
  <si>
    <t>Building Location</t>
  </si>
  <si>
    <t>Address</t>
  </si>
  <si>
    <t>Batch</t>
  </si>
  <si>
    <t>Building SQFT</t>
  </si>
  <si>
    <t>Year Built</t>
  </si>
  <si>
    <t>Estimated Rooftop PV System Size (kW DC)</t>
  </si>
  <si>
    <t>Estimated Rooftop PV System Size (kW AC)</t>
  </si>
  <si>
    <t>MON7003</t>
  </si>
  <si>
    <t>Montreal, QC</t>
  </si>
  <si>
    <t>2580 Dollard Avenue</t>
  </si>
  <si>
    <t>MON7017</t>
  </si>
  <si>
    <t>Lachine, QC</t>
  </si>
  <si>
    <t>1600 50th Avenue</t>
  </si>
  <si>
    <t>MON7020</t>
  </si>
  <si>
    <t>Pointe-Claire, QC</t>
  </si>
  <si>
    <t>5500 Trans-Canada Highway</t>
  </si>
  <si>
    <t>MON7024</t>
  </si>
  <si>
    <t>117 Hymus Boulevard</t>
  </si>
  <si>
    <t>MON7025</t>
  </si>
  <si>
    <t>7101 Notre-Dame Street East</t>
  </si>
  <si>
    <t>MON7026</t>
  </si>
  <si>
    <t>Dorval, QC</t>
  </si>
  <si>
    <t>2900 Avenue Andre</t>
  </si>
  <si>
    <t>MON7027</t>
  </si>
  <si>
    <t>7350 Trans-Canada Highway</t>
  </si>
  <si>
    <t>MON7028</t>
  </si>
  <si>
    <t>Saint-Laurent, QC</t>
  </si>
  <si>
    <t>2520 Marie-Curie</t>
  </si>
  <si>
    <t>MON7030</t>
  </si>
  <si>
    <t>1177-1185 55e Ave</t>
  </si>
  <si>
    <t>MON7038</t>
  </si>
  <si>
    <t>5685 Rue Cypihot</t>
  </si>
  <si>
    <t>MON7043</t>
  </si>
  <si>
    <t>3665 Boulevard Poirier</t>
  </si>
  <si>
    <t>1?</t>
  </si>
  <si>
    <t>MON7044</t>
  </si>
  <si>
    <t>7800 Transcanada</t>
  </si>
  <si>
    <t>Montreal</t>
  </si>
  <si>
    <t>8000 Blaise-Pascal</t>
  </si>
  <si>
    <t>Laval</t>
  </si>
  <si>
    <t>1313 Autoroute Chomedey</t>
  </si>
  <si>
    <t>Lachine</t>
  </si>
  <si>
    <t>1125 50th Avenue</t>
  </si>
  <si>
    <t>5000 rue Fairway &amp; 1645 50e Avenue</t>
  </si>
  <si>
    <t>333 Chemin du Tremblay</t>
  </si>
  <si>
    <t>1500 rue Nobel</t>
  </si>
  <si>
    <t>2000 32e Avenue</t>
  </si>
  <si>
    <t>1825 - 1865 32e Avenue</t>
  </si>
  <si>
    <t>1876 - 1936 32e Avenue</t>
  </si>
  <si>
    <t>Longueuil</t>
  </si>
  <si>
    <t>2350 de la Province</t>
  </si>
  <si>
    <t>2995 Le Corbusier</t>
  </si>
  <si>
    <t>700 McCaffrey Road</t>
  </si>
  <si>
    <t>401 Rue Marie Curie</t>
  </si>
  <si>
    <t>3055 Rue Anderson</t>
  </si>
  <si>
    <t>Owner</t>
  </si>
  <si>
    <t>Dream Summit Industrial (Quebec) Inc.</t>
  </si>
  <si>
    <t>Dream Industrial Canada Solar Inc</t>
  </si>
  <si>
    <t>Maximum estimated Rooftop PV System Size (kW DC)</t>
  </si>
  <si>
    <t>Draft Layout size (DC)</t>
  </si>
  <si>
    <t>Roof Condition and Capex</t>
  </si>
  <si>
    <t>$1.3M budgeted in 2025-2027 for replacement.</t>
  </si>
  <si>
    <t>$5.3M budgeted in 2027-2029 for replacement.</t>
  </si>
  <si>
    <t>$3.7M budgeted in 2027-2029 for replacement.</t>
  </si>
  <si>
    <t>$3.8M budgeted in 2027 for replacement.</t>
  </si>
  <si>
    <t>50% of roof is less than  years old.</t>
  </si>
  <si>
    <t>30% of roof is less than 6 years old. $660k budgeted in 2025 for replacement.</t>
  </si>
  <si>
    <t>$2M budgeted in 2027 for replacement.</t>
  </si>
  <si>
    <t>100% of roof is under 8 years old.</t>
  </si>
  <si>
    <t>$2.6M budgeted in 2026-2027 for replacement.</t>
  </si>
  <si>
    <t>$2.3M budgeted in 2029 for replacement.</t>
  </si>
  <si>
    <t>Tenant is expected to complete full roof replacement in 2026.</t>
  </si>
  <si>
    <t>$1.5M budgeted in 2026-2028 for replacement.</t>
  </si>
  <si>
    <t>$850k budgeted in 2025 for replacement.</t>
  </si>
  <si>
    <t>$2.9M budgeted in 2032 for replacement.</t>
  </si>
  <si>
    <t>Half of roof is new. $215k budgeted in 2026 for an additional 1/6th of roof. This brings total new roof to 70,000 ft2.</t>
  </si>
  <si>
    <t>80% of roof is under 8 years old. $144k budgeted in 2026 for additional roof replacement.</t>
  </si>
  <si>
    <t>85% of roof is under 7 years old.</t>
  </si>
  <si>
    <t>100% of roof is under 7 years old.</t>
  </si>
  <si>
    <t>$630k budgeted in 2026-2031 for replacement.</t>
  </si>
  <si>
    <t>$935k budgeted in 2030-2032 for replacement.</t>
  </si>
  <si>
    <t>$1.4M budgeted for 60% of roof in 2030-2031.</t>
  </si>
  <si>
    <t>18% of roof area is 4 years old. $1.1M budgeted in 2026-2030 for replacement.</t>
  </si>
  <si>
    <t>40% is under 7 years old. 
$625k budgeted in 2027-2028 for replacement.</t>
  </si>
  <si>
    <t>30% of roof is under 4 years old. $7.5M budgeted in 2028-2030 for replacement.</t>
  </si>
  <si>
    <t>$2M budgeted in 2026-2029 for replacement.</t>
  </si>
  <si>
    <t>Roof Type</t>
  </si>
  <si>
    <t/>
  </si>
  <si>
    <t xml:space="preserve">1 - 16720 ft2 - BUR - Installed ; 2 - 13741 ft2 - BUR - Installed ; 3 - 14194 ft2 - BUR - Installed ; 4 - 13741 ft2 - Modified bitumen - Installed ; 5 - 14194 ft2 - Modified bitumen - Installed ; 6 - 9595 ft2 -  - Installed ; 7 - 9500 ft2 -  - Installed </t>
  </si>
  <si>
    <t>A - 9242 ft2 -  - Installed 2022; B - 10980 ft2 -  - Installed 2001; C - 12929 ft2 - Modified bitumen - Installed 2014; D - 12929 ft2 -  - Installed 2015; E - 13200 ft2 -  - Installed 2022; F - 10945 ft2 - Modified bitumen - Installed 2018; G - 15575 ft2 - Modified bitumen - Installed 2018</t>
  </si>
  <si>
    <t>A - 11492 ft2 - Modified bitumen - Installed 2022; B - 18260 ft2 - Modified bitumen - Installed 2020; C - 17104 ft2 - Modified bitumen - Installed 2015; D - 17704 ft2 - Modified bitumen - Installed 2018; E - 18341 ft2 - Modified bitumen - Installed 2022</t>
  </si>
  <si>
    <t>A -  ft2 -  - Installed 2019; B -  ft2 -  - Installed 2019; C -  ft2 -  - Installed 2020; D -  ft2 -  - Installed 2021; E -  ft2 -  - Installed 2021; F -  ft2 -  - Installed 2021</t>
  </si>
  <si>
    <t>A - 8789 ft2 - Modified bitumen - Installed 2003; B - 11238 ft2 -  - Installed ; C - 10187 ft2 -  - Installed ; D - 10542 ft2 - Modified bitumen - Installed 2003; E - 14301 ft2 - Modified bitumen - Installed 2003; F - 14285 ft2 - Modified bitumen - Installed 2003</t>
  </si>
  <si>
    <t>A - 11170 ft2 - ? - Installed 2023; B - 12431 ft2 - ? - Installed 2021; C - 10000 ft2 - ? - Installed 2005; D - 11194 ft2 - ? - Installed 2005; E - 11013 ft2 - ? - Installed 2005; F - 11240 ft2 - ? - Installed 2005; G - 16964 ft2 - ? - Installed 2005</t>
  </si>
  <si>
    <t xml:space="preserve">A -  ft2 -  - Installed ; B - 60000 ft2 -  - Installed ; C - 88000 ft2 -  - Installed </t>
  </si>
  <si>
    <t>1 - 5304 ft2 - BUR - Installed 2021; 1.1 - 9900 ft2 - BUR - Installed 2006; 1.2 - 10201 ft2 - BUR - Installed 2006; 1.3 - 10000 ft2 - BUR - Installed 2003; 1.4 - 7800 ft2 - BUR - Installed 2021; 1.5 - 15197 ft2 - BUR - Installed 2001; 1.6 - 15352 ft2 - BUR - Installed 2000; 1.7 - 15200 ft2 - BUR - Installed 2006; 2 - 7722 ft2 - BUR - Installed 2021; 2.1 - 7623 ft2 - BUR - Installed 2006; 2.2 - 10692 ft2 - BUR - Installed 2000</t>
  </si>
  <si>
    <t>1 - 96213 ft2 -  - Installed 2022; 2 - 183920 ft2 - Modified bitumen - Installed 2005; 3 - 157994 ft2 - Modified bitumen - Installed 2005; 4 - 161556 ft2 - Modified bitumen - Installed 2005; 5 - 129663 ft2 -  - Installed 2021; A - 11508 ft2 - ? - Installed 2005; B - 3502 ft2 - ? - Installed 2005; C - 3019 ft2 - ? - Installed 2005</t>
  </si>
  <si>
    <t>Roof Comments</t>
  </si>
  <si>
    <t>About half of roof is due for replacement.  $167k budgeted in 2025 for BUR  type roof 11,935 sf roof area 1.7A. $1.144M budgeted in 2027 for BUR  type roof 44,775 sf roof area 1.0,1.1,1.2 &amp;1.6.</t>
  </si>
  <si>
    <t>Was tenant managed but now vacant. $400k budgeted in 2027 for BUR  type roof 15,325 sf roof area 1.9 &amp; 2.6. $4.9M budgeted in 2029 for BUR  type roof 11,352 sf roof area 1.0, 1.1,CA1  AND BUR  type roof 172,000 sf roof area 1.0, 1.1,1.10 &amp;1.11 &amp; 1.2 to 1.7</t>
  </si>
  <si>
    <t xml:space="preserve">Basins E1, H3, M1 and M2 were replaced in 2022. 
$2.1M budgeted in 2027 for Mod-bit type roof 38,622 sf roof area H1,H2, H6, H8 Single Ply TPO type roof 46,139 sf roof area J,L,N.  
$830k budgeted in 2028 for BUR type roof 2,658 sf roof area B1, B6; Mod-bit type roof 29,928 sf roof area H9-H11, H13,I1-I3, &amp; I; Single Ply TPO type roof 2,812 sf roof area K.
$715k budgeted in 2029 for BUR type roof 9,819 sf roof area B2-B5, D1 &amp; E2
Mod-bit type roof 18,174 sf roof area H4, H5, H7, H12. </t>
  </si>
  <si>
    <t xml:space="preserve">$3.8M budgeted in 2027 for full roof (EPDM-LLB  type roof 209,856 sf roof area 1.0) </t>
  </si>
  <si>
    <t xml:space="preserve">2020 - Roof membrane replacement of areas 2.0, 2.1,2.2,2.3,3.0,3.2,4.08,4.13,4.15 and 4.16 </t>
  </si>
  <si>
    <t>2019 - replacement of areas 1.4 and 1.5. $660k budgeted in 2025 for BUR type roof 32,000 sf roof areas 1.0 &amp;1.1</t>
  </si>
  <si>
    <t>$2M budgeted in 2027 for whole roof</t>
  </si>
  <si>
    <t>Roof membrane replaced in 2018</t>
  </si>
  <si>
    <t>4 Yrs - Basin A15                                        
11 Yrs - A-4 A-9 and A-10                                                                        
12 Yrs A-14 and A-15
14 Yrs- Basin A15
$2.6M budgeted in 2026 and 2027 for BUR type roof 64,873 sf Roof Areas: A7, A9 to A14 &amp; A18 AND BUR type roof 21,863 sf roof areas A1 to A4 &amp; A17 AND
EPDM type roof 59,691 sf roof areas A5-6, A8 &amp; A16</t>
  </si>
  <si>
    <t>Replacement required before solar installation. $2.3M budgeted in 2029 for SPTPO type roof 104,595 roof area 1.0 to 1.3</t>
  </si>
  <si>
    <t>Tenant started roof replacememtn in 2023 and expects to complete the 4 phases in 2026. As it's a tenant managed roof, can we put solar on top? Will we need to reimburse them for the recent upgrades or pay roof rent or what?</t>
  </si>
  <si>
    <t xml:space="preserve">Roof area 1.0-1.11 and 3.1/3.1 were replaced in approximately 2019. Roof area 2.0 was installed in 2022-2023 as part of a renovation/addition project. </t>
  </si>
  <si>
    <t>Unknown - Sept 2024 roof report mentions lots of deficiencies but not age of roof and overall condition. We have $1.5M budgeted (105k ft2) in 2026-2028 capex plan. Should be enough to support new roof.
Vacant.</t>
  </si>
  <si>
    <t>Unknown - Nov 2024 roof report mentions lots of deficiencies but not age of roof and overall condition. We have $850k budgeted in 2026 capex plan for full roof</t>
  </si>
  <si>
    <t>Unknown - but we have $2.9M budgeted in 2032. this site would be a good candidate if roof replacement is accelerated.</t>
  </si>
  <si>
    <t>Unknown - $215k budgeted in 2026 capex plan for 1/6th of building. Appears like half of the roof is newish TPO. This would bring total good roof area to ~70,000 ft2</t>
  </si>
  <si>
    <t>57% of roof (48962 ft2) under 7 years old, 36% of total roof is 7 years old (now or never). Rest of roof is between 10-24 years old. 
$144K BUDGETED IN 2026 - CAPEX PLAN.</t>
  </si>
  <si>
    <t xml:space="preserve">Most of the roof is under 7 years old (~85%). </t>
  </si>
  <si>
    <t xml:space="preserve">The entire roof is under 7 years old. </t>
  </si>
  <si>
    <t>Would need a roof replacement as roof is at the end of its life. 2026-31 - $630k (47k ft2) budgeted for replacement</t>
  </si>
  <si>
    <t xml:space="preserve">30% of the roof (23601 ft2) is between 2-4 years. The rest 70% is 20 years old. 2030-32 - $935k (60k ft2) budgeted (C,D,E,F,G) </t>
  </si>
  <si>
    <t>2030-31 - $1.4M budgeted for 130k ft2 of roof</t>
  </si>
  <si>
    <t xml:space="preserve">18.1 % of roof area (20,826 ft2) is 4 years old, 45% (51241 ft2) is above 20 years and would need to be replaced due to end of life. To note,  37% of the roof (42,924 ft2) is currently 19 years old, and will join the 20+ years (category 2 shortly). 
$1.1M BUDGETED IN 2026-2030 - CAPEX PLAN.
</t>
  </si>
  <si>
    <t>Unknown - 40% apprears newish. 60% appears old (but in ok condition). 
$625k budgeted in 2027-2028 capex plan (52k ft2).</t>
  </si>
  <si>
    <t>30 % of roof is between 3-4 years (225,976 ft2); the rest (521499 ft2) is 20 years old.  2028-2030 - $7.5m budgeted for 450k ft2 roof replacement</t>
  </si>
  <si>
    <t>"The specific age of each pool was not provided to us, but it appears that these roofs date from around 2003. This has not been confirmed by La Pointe du conseil inc. Pools 1 to 27 are currently approximately 21 years old. Leaks reportedly occurred this winter, and a contractor selected by Dream undertook temporary caulking work on two pools specifically, namely pools B3 and B13."
$2M budgeted in 2026-2029 capex plan.</t>
  </si>
  <si>
    <t>Structural</t>
  </si>
  <si>
    <t>Conclusion</t>
  </si>
  <si>
    <t>Need to replace BUR roof with TPO or
equiv. Need to confirm roof budget is
sufficient for whole roof.</t>
  </si>
  <si>
    <t>For 1987 Expansion, need to replace
BUR roof with TPO or equiv. For the
original building, we need to either
remove half of the rock ballast OR
replace BUR roof with TPO or equiv.
Need to confirm roof budget is
sufficient for whole roof.</t>
  </si>
  <si>
    <t>For 2006 expansion, we either need to
complete some reinforcement OR
mechanically fasten the solar panels.
For the original building, need to
replace BUR roof with TPO or equiv;
some of original building does not
have BUR ballast, so can support solar
as is. Need to confirm roof budget is
sufficient for whole roof. Also need to
inspect Siporex panels for structural</t>
  </si>
  <si>
    <t>lowereing ballast on epdm would work
but roof replacement budgeted too
(could switch to lighter roof material).
Need to confirm if roof budget is
sufficient for whole roof.</t>
  </si>
  <si>
    <t>Bldg #1 - can support solar as is. Bldg
#2 - would need to replace 3/4" of rock
ballast with 1/4" rock ballast
(probably not best practice) OR
replace with lighter roof. When is
replacement budgeted for? Bldg #3 -
some is ok as is; some requires
replacement with lighter roof. When is
replacement budgeted for? Bldg #4 -
some structural concerns as is needs
to be investigated. requires
replacement with lighter roof. When is
replacement budgeted for</t>
  </si>
  <si>
    <t>would need to replace 1.5" of rock
ballast with 0.75" rock ballast OR
replace with lighter roof. Need to
confirm roof budget is sufficient for
whole roof.</t>
  </si>
  <si>
    <t>All good as is</t>
  </si>
  <si>
    <t>Half of roof can support solar as is.
The other half needs to replace BUR
roof with TPO or equiv. Need to
confirm roof budget is sufficient for
whole roof.</t>
  </si>
  <si>
    <t>would need to replace 2" of rock
ballast with 0.75" rock ballast (which
is ok as it's EPDM) OR replace with
lighter roof. Need to confirm tenant's
timing for replacement and ensure
they install lighter roof.</t>
  </si>
  <si>
    <t>Expansion can support solar as is; but
original needs to replace BUR roof
with TPO or equiv. When is
replacement budgeted for? We need
to cover whole roof in solar to meet
minimum size requirements.</t>
  </si>
  <si>
    <t>Expansion can support solar as is; but
original needs to replace BUR roof
with TPO or equiv. Need to confirm
roof budget is sufficient for whole roof.</t>
  </si>
  <si>
    <t>would need to replace 2" of rock
ballast with 0.25" rock ballast (ok
because it's EPDM) OR replace with
lighter roof. Need to confirm roof
budget is sufficient for whole roof.</t>
  </si>
  <si>
    <t>would need to replace 1.5" of rock
ballast with 0.25" rock ballast (ok
because it's EPDM) OR replace with
lighter roof. Need to confirm roof
budget is sufficient for whole roof.</t>
  </si>
  <si>
    <t>Half of roof can support solar with
ballast removal (which is ok since it's
TPO). The other half needs to replace
BUR roof with TPO or equiv. Need to
confirm roof budget is sufficient for
half of roof.</t>
  </si>
  <si>
    <t>Need to replace BUR roof with TPO or
equiv OR mechanically fasten? Need
to confirm roof budget is sufficient for
whole roof.</t>
  </si>
  <si>
    <t>rjc to see if structure could support
mechanically fastened solar. Would
this negatively impact roof life?</t>
  </si>
  <si>
    <t>rjc to see if structure could support
mechanically fastened solar. Would
this negatively impact roof life?
otherwise, just a small section for
solar in future upon replacement.
Need to confirm area that roof budget
would cover.</t>
  </si>
  <si>
    <t>Expansion (EPDM) can support solar
as is. The rest of building needs to
replace BUR roof with TPO or equiv.
Need to confirm roof budget is
sufficient for whole roof.</t>
  </si>
  <si>
    <t>For the new roof, we might be able to
mechanically fasten? For the balance
of the roof, Need to replace BUR roof
with TPO or equiv. Need to confirm
roof budget is sufficient for whole roof.</t>
  </si>
  <si>
    <t>Expansions (TPO) can support solar as
is. The rest of building needs to
replace BUR roof with TPO or equiv.
Need to confirm roof budget is
sufficient for whole roof.</t>
  </si>
  <si>
    <t>Expansion (TPO) can support solar as
is. The rest of building needs to
replace BUR roof with TPO or equiv.
Need to confirm roof budget is
sufficient for whole roof.</t>
  </si>
  <si>
    <t>RJC Comments</t>
  </si>
  <si>
    <t>This conclusion is correct to achieve
an additional load allocation for
solar panels.</t>
  </si>
  <si>
    <t>These conclusions are correct to
achieve an additional load allocation
for solar panels.</t>
  </si>
  <si>
    <t>Conclusion for original building is
recommended further structural
investigation. Change to lighter roof
may be possible to permit solar
based on investigation results.
For the 2006 expansion, the
conclusion is correct as
reinforcement is required to achieve
an additional load allocation for
solar panels. Reinforcement is
needed for either mechanically
fastened or ballasted panels.
Upon review of available
documentation, there is also a 1996
expansion with Mod-Bit. This was not
evaluated previously and should be
subject to further verification.
Conduct structural inspection prior</t>
  </si>
  <si>
    <t>Follow Figure 3 from report for
building naming. In ProsPec roof
buildings report #2, #3 and #4 are
referred to separated buildings
excluded from RJC's scope of work
and report.
Conclusions as stated above for Bldg
#1 and #3 are correct to achieve an
additional load allocation for solar
panels. Conclusion for Bldg #2 is
roof replacement only.
Conclusion for Bldg #4 is
recommended further structural
investigation. Change to lighter roof
may be possible to permit solar
based on investigation results.</t>
  </si>
  <si>
    <t>Not correct. The only viable option is
to replace BUR roof with lighter roof.
To replace ballast thickness is not
sufficient for this case due to current
state of joists by structural analysis.</t>
  </si>
  <si>
    <t>This conclusion is correct.</t>
  </si>
  <si>
    <t>These conclusions are correct.</t>
  </si>
  <si>
    <t>This conclusion is not correct. Roof
type is already a TPO system.
Original design loads are higher than
required for this roof type. Thus, low
density PV panels are possible.</t>
  </si>
  <si>
    <t>These conclusions are correct.
Original roof was verified with
mechanically fastened and our
recommendation does not change
with regards to needing to replace
the roof to achieve an additional
allocation for solar panels.</t>
  </si>
  <si>
    <t>Roof was verified with mechanically
fastened and our recommendation
does not change with regards to
needing to replace the roof to
achieve an additional allocation for
solar panels.</t>
  </si>
  <si>
    <t>To our knowledge, there is only one
roof type. The conclusion is to
replace BUR to TPO or equivalent.
Roof was verified with mechanically
fastened and our recommendation
does not change with regards to
needing to replace the roof to
achieve an additional allocation for
solar panels.</t>
  </si>
  <si>
    <t>These conclusions are correct</t>
  </si>
  <si>
    <t>Pass</t>
  </si>
  <si>
    <t>yes</t>
  </si>
  <si>
    <t>Partial</t>
  </si>
  <si>
    <t>Yes</t>
  </si>
  <si>
    <t>partial</t>
  </si>
  <si>
    <t>Preliminary Capacity</t>
  </si>
  <si>
    <t>0.36-0.45</t>
  </si>
  <si>
    <t>0.25-0.36</t>
  </si>
  <si>
    <t>0.3-0.36</t>
  </si>
  <si>
    <t>Final report Capacity</t>
  </si>
  <si>
    <t>0.4*</t>
  </si>
  <si>
    <t>0.28-0.90</t>
  </si>
  <si>
    <t>0.55-0.75</t>
  </si>
  <si>
    <t>0.25,0.25,0.36-0.6,0.25</t>
  </si>
  <si>
    <t>0.6*</t>
  </si>
  <si>
    <t>0.36-0.60</t>
  </si>
  <si>
    <t>0.36 - 0.6</t>
  </si>
  <si>
    <t>0.25*</t>
  </si>
  <si>
    <t>0.6-0.9</t>
  </si>
  <si>
    <t>0.25-0.36-0.6*</t>
  </si>
  <si>
    <t>0.3-0.4-0.6</t>
  </si>
  <si>
    <t>0.35-0.55</t>
  </si>
  <si>
    <t>0.4-0.6</t>
  </si>
  <si>
    <t>0.36-0.6</t>
  </si>
  <si>
    <t>0.36-.60</t>
  </si>
  <si>
    <t>0.25-0.28*</t>
  </si>
  <si>
    <t>0.25-0.48-0.75</t>
  </si>
  <si>
    <t>Balast Removal</t>
  </si>
  <si>
    <t>no</t>
  </si>
  <si>
    <t>DOT results</t>
  </si>
  <si>
    <t xml:space="preserve">Capacity </t>
  </si>
  <si>
    <t>YES</t>
  </si>
  <si>
    <t>No</t>
  </si>
  <si>
    <t>HQ substation</t>
  </si>
  <si>
    <t>AQUEDUC</t>
  </si>
  <si>
    <t>Laurent</t>
  </si>
  <si>
    <t>DES_SOURCES</t>
  </si>
  <si>
    <t>DES_SOURCE</t>
  </si>
  <si>
    <t>LONGUE_POINTE</t>
  </si>
  <si>
    <t>LAURENT</t>
  </si>
  <si>
    <t>SARAGUAY</t>
  </si>
  <si>
    <t>SAINT_JEAN_315_25kV</t>
  </si>
  <si>
    <t>HENRI_BOURASSA</t>
  </si>
  <si>
    <t>CHOMEDEY</t>
  </si>
  <si>
    <t>DU_Tremblay</t>
  </si>
  <si>
    <t>DU_TREMBLAY</t>
  </si>
  <si>
    <t>LE_CORBUSIER</t>
  </si>
  <si>
    <t>DORION</t>
  </si>
  <si>
    <t>GROULX</t>
  </si>
  <si>
    <t>HQ line Identification</t>
  </si>
  <si>
    <t>L23402</t>
  </si>
  <si>
    <t>l144</t>
  </si>
  <si>
    <t>L297</t>
  </si>
  <si>
    <t>L276</t>
  </si>
  <si>
    <t>L227</t>
  </si>
  <si>
    <t>L231</t>
  </si>
  <si>
    <t>L287</t>
  </si>
  <si>
    <t>L151</t>
  </si>
  <si>
    <t>L274</t>
  </si>
  <si>
    <t>L292</t>
  </si>
  <si>
    <t>L229</t>
  </si>
  <si>
    <t>L271</t>
  </si>
  <si>
    <t>L239</t>
  </si>
  <si>
    <t>L112</t>
  </si>
  <si>
    <t>L144</t>
  </si>
  <si>
    <t>L263</t>
  </si>
  <si>
    <t>L236</t>
  </si>
  <si>
    <t>L223</t>
  </si>
  <si>
    <t>l232</t>
  </si>
  <si>
    <t>L232</t>
  </si>
  <si>
    <t>L253</t>
  </si>
  <si>
    <t xml:space="preserve">HQ Transformer </t>
  </si>
  <si>
    <t>G8P2L</t>
  </si>
  <si>
    <t>x4h1h</t>
  </si>
  <si>
    <t>M6D9R</t>
  </si>
  <si>
    <t>S6R9R</t>
  </si>
  <si>
    <t>G6R5H</t>
  </si>
  <si>
    <t>M4K6H</t>
  </si>
  <si>
    <t>D3Y6Y</t>
  </si>
  <si>
    <t>M4Y7W</t>
  </si>
  <si>
    <t>K1N9V</t>
  </si>
  <si>
    <t>M3D4T</t>
  </si>
  <si>
    <t>S6Y9Z</t>
  </si>
  <si>
    <t>D8O1X</t>
  </si>
  <si>
    <t>L2O3Q</t>
  </si>
  <si>
    <t>D8F5I</t>
  </si>
  <si>
    <t>M8X5S</t>
  </si>
  <si>
    <t>D8C5C</t>
  </si>
  <si>
    <t>D9I6U</t>
  </si>
  <si>
    <t>W6M0K</t>
  </si>
  <si>
    <t>K6M5Z</t>
  </si>
  <si>
    <t>k2d5z</t>
  </si>
  <si>
    <t>D5K1E</t>
  </si>
  <si>
    <t>D3Z4B</t>
  </si>
  <si>
    <t xml:space="preserve">HQ line voltage </t>
  </si>
  <si>
    <t>347/600</t>
  </si>
  <si>
    <t>25KV</t>
  </si>
  <si>
    <t>12.5Kv</t>
  </si>
  <si>
    <t>347/600V</t>
  </si>
  <si>
    <t>Distribution upgrade</t>
  </si>
  <si>
    <t>substation upgrade</t>
  </si>
  <si>
    <t xml:space="preserve">Protections </t>
  </si>
  <si>
    <t>Communications</t>
  </si>
  <si>
    <t xml:space="preserve">Total cost </t>
  </si>
  <si>
    <t xml:space="preserve">Lead time </t>
  </si>
  <si>
    <t xml:space="preserve">completion date </t>
  </si>
  <si>
    <t xml:space="preserve">contract target date </t>
  </si>
  <si>
    <t xml:space="preserve">Community engagement </t>
  </si>
  <si>
    <t>Residential within 100m</t>
  </si>
  <si>
    <t>y</t>
  </si>
  <si>
    <t>n</t>
  </si>
  <si>
    <t>Y</t>
  </si>
  <si>
    <t>few</t>
  </si>
  <si>
    <t xml:space="preserve">Community Enegagement date </t>
  </si>
  <si>
    <t>Time</t>
  </si>
  <si>
    <t xml:space="preserve">Facility </t>
  </si>
  <si>
    <t>2695 Dollard</t>
  </si>
  <si>
    <t xml:space="preserve">Attendees </t>
  </si>
  <si>
    <t>Logs digitized</t>
  </si>
  <si>
    <t xml:space="preserve">Electrical site visit </t>
  </si>
  <si>
    <t xml:space="preserve">denied </t>
  </si>
  <si>
    <t>rescheduled</t>
  </si>
  <si>
    <t>Crews</t>
  </si>
  <si>
    <t xml:space="preserve">Construction completion </t>
  </si>
  <si>
    <t>Construction Duration Days</t>
  </si>
  <si>
    <t>Est Construciton start</t>
  </si>
  <si>
    <t>Pre construction roof prep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</si>
</sst>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 #,##0.00_-;\-* #,##0.00_-;_-* &quot;-&quot;??_-;_-@_-"/>
    <numFmt numFmtId="166" formatCode="_(* #,##0_);_(* \(#,##0\);_(* &quot;-&quot;??_);_(@_)"/>
  </numFmts>
  <fonts count="4">
    <font>
      <sz val="11"/>
      <color theme="1"/>
      <name val="Aptos Narrow"/>
      <family val="2"/>
      <scheme val="minor"/>
    </font>
    <font>
      <sz val="11"/>
      <color theme="1"/>
      <name val="Aptos Narrow"/>
      <family val="2"/>
      <scheme val="minor"/>
    </font>
    <font>
      <b/>
      <sz val="11"/>
      <color theme="1"/>
      <name val="Aptos Narrow"/>
      <family val="2"/>
      <scheme val="minor"/>
    </font>
    <font>
      <sz val="9"/>
      <color theme="1"/>
      <name val="Segoe UI"/>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53">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166" fontId="0" fillId="0" borderId="1" xfId="1" applyNumberFormat="1" applyFont="1" applyBorder="1" applyAlignment="1">
      <alignment horizontal="center" vertical="center" wrapText="1"/>
    </xf>
    <xf numFmtId="3" fontId="0" fillId="2" borderId="1" xfId="1" applyNumberFormat="1" applyFont="1" applyFill="1" applyBorder="1" applyAlignment="1">
      <alignment horizontal="center" vertical="center" wrapText="1"/>
    </xf>
    <xf numFmtId="3" fontId="0" fillId="0" borderId="1" xfId="1" applyNumberFormat="1" applyFont="1" applyBorder="1" applyAlignment="1">
      <alignment horizontal="center" vertical="center" wrapText="1"/>
    </xf>
    <xf numFmtId="3" fontId="0" fillId="0" borderId="1" xfId="1" applyNumberFormat="1" applyFont="1" applyFill="1" applyBorder="1" applyAlignment="1">
      <alignment horizontal="center" vertical="center" wrapText="1"/>
    </xf>
    <xf numFmtId="0" fontId="0" fillId="0" borderId="1" xfId="0" applyBorder="1"/>
    <xf numFmtId="164" fontId="0" fillId="0" borderId="1" xfId="2" applyFont="1" applyBorder="1"/>
    <xf numFmtId="15" fontId="0" fillId="0" borderId="1" xfId="0" applyNumberFormat="1" applyBorder="1"/>
    <xf numFmtId="0" fontId="0" fillId="0" borderId="1" xfId="0" applyBorder="1" applyAlignment="1">
      <alignment wrapText="1"/>
    </xf>
    <xf numFmtId="164" fontId="0" fillId="0" borderId="1" xfId="2" applyFont="1" applyBorder="1" applyAlignment="1">
      <alignment wrapText="1"/>
    </xf>
    <xf numFmtId="15" fontId="0" fillId="0" borderId="1" xfId="0" applyNumberFormat="1" applyBorder="1" applyAlignment="1">
      <alignment wrapText="1"/>
    </xf>
    <xf numFmtId="0" fontId="0" fillId="3" borderId="1" xfId="0" applyFill="1" applyBorder="1" applyAlignment="1">
      <alignment horizontal="center" vertical="center" wrapText="1"/>
    </xf>
    <xf numFmtId="166" fontId="0" fillId="3" borderId="1" xfId="1" applyNumberFormat="1" applyFont="1" applyFill="1" applyBorder="1" applyAlignment="1">
      <alignment horizontal="center" vertical="center" wrapText="1"/>
    </xf>
    <xf numFmtId="3" fontId="0" fillId="3" borderId="1" xfId="1" applyNumberFormat="1" applyFont="1" applyFill="1" applyBorder="1" applyAlignment="1">
      <alignment horizontal="center" vertical="center" wrapText="1"/>
    </xf>
    <xf numFmtId="0" fontId="0" fillId="3" borderId="1" xfId="0" applyFill="1" applyBorder="1" applyAlignment="1">
      <alignment wrapText="1"/>
    </xf>
    <xf numFmtId="164" fontId="0" fillId="3" borderId="1" xfId="2" applyFont="1" applyFill="1" applyBorder="1" applyAlignment="1">
      <alignment wrapText="1"/>
    </xf>
    <xf numFmtId="0" fontId="0" fillId="3" borderId="0" xfId="0" applyFill="1"/>
    <xf numFmtId="0" fontId="0" fillId="3" borderId="1" xfId="0" applyFill="1" applyBorder="1"/>
    <xf numFmtId="165" fontId="0" fillId="0" borderId="0" xfId="1" applyFont="1"/>
    <xf numFmtId="166" fontId="0" fillId="0" borderId="0" xfId="0" applyNumberFormat="1"/>
    <xf numFmtId="0" fontId="0" fillId="0" borderId="0" xfId="0" applyAlignment="1">
      <alignment wrapText="1"/>
    </xf>
    <xf numFmtId="165" fontId="0" fillId="0" borderId="1" xfId="1" applyFont="1" applyFill="1" applyBorder="1" applyAlignment="1">
      <alignment horizontal="center" wrapText="1"/>
    </xf>
    <xf numFmtId="165" fontId="0" fillId="3" borderId="1" xfId="1" applyFont="1" applyFill="1" applyBorder="1" applyAlignment="1">
      <alignment horizontal="center" wrapText="1"/>
    </xf>
    <xf numFmtId="165" fontId="0" fillId="0" borderId="1" xfId="1" applyFont="1" applyBorder="1" applyAlignment="1">
      <alignment horizontal="center" wrapText="1"/>
    </xf>
    <xf numFmtId="165" fontId="0" fillId="0" borderId="0" xfId="1" applyFont="1" applyAlignment="1">
      <alignment horizontal="center"/>
    </xf>
    <xf numFmtId="15" fontId="0" fillId="4" borderId="0" xfId="0" applyNumberFormat="1" applyFill="1"/>
    <xf numFmtId="165" fontId="0" fillId="4" borderId="0" xfId="0" applyNumberFormat="1" applyFill="1"/>
    <xf numFmtId="0" fontId="0" fillId="0" borderId="1" xfId="0" applyBorder="1" applyAlignment="1">
      <alignment horizontal="center" vertical="top" wrapText="1"/>
    </xf>
    <xf numFmtId="166" fontId="0" fillId="0" borderId="1" xfId="1" applyNumberFormat="1" applyFont="1" applyFill="1" applyBorder="1" applyAlignment="1">
      <alignment horizontal="center" vertical="center" wrapText="1"/>
    </xf>
    <xf numFmtId="164" fontId="0" fillId="0" borderId="1" xfId="2" applyFont="1" applyFill="1" applyBorder="1"/>
    <xf numFmtId="15" fontId="0" fillId="0" borderId="0" xfId="0" applyNumberFormat="1"/>
    <xf numFmtId="165" fontId="0" fillId="0" borderId="0" xfId="0" applyNumberFormat="1"/>
    <xf numFmtId="164" fontId="0" fillId="0" borderId="1" xfId="2" applyFont="1" applyFill="1" applyBorder="1" applyAlignment="1">
      <alignment wrapText="1"/>
    </xf>
    <xf numFmtId="0" fontId="2" fillId="0" borderId="0" xfId="0" applyFont="1" applyAlignment="1">
      <alignment horizontal="center" vertical="center" wrapText="1"/>
    </xf>
    <xf numFmtId="0" fontId="3" fillId="0" borderId="0" xfId="0" applyFont="1" applyAlignment="1">
      <alignment wrapText="1"/>
    </xf>
    <xf numFmtId="0" fontId="3" fillId="0" borderId="1" xfId="0" applyFont="1" applyBorder="1" applyAlignment="1">
      <alignment wrapText="1"/>
    </xf>
    <xf numFmtId="0" fontId="0" fillId="2" borderId="1" xfId="0" applyFill="1" applyBorder="1" applyAlignment="1">
      <alignment horizontal="center" vertical="center" wrapText="1"/>
    </xf>
    <xf numFmtId="166" fontId="0" fillId="2" borderId="1" xfId="1" applyNumberFormat="1" applyFont="1" applyFill="1" applyBorder="1" applyAlignment="1">
      <alignment horizontal="center" vertical="center" wrapText="1"/>
    </xf>
    <xf numFmtId="165" fontId="0" fillId="2" borderId="1" xfId="1" applyFont="1" applyFill="1" applyBorder="1" applyAlignment="1">
      <alignment horizontal="center" wrapText="1"/>
    </xf>
    <xf numFmtId="0" fontId="0" fillId="2" borderId="1" xfId="0" applyFill="1" applyBorder="1"/>
    <xf numFmtId="164" fontId="0" fillId="2" borderId="1" xfId="2" applyFont="1" applyFill="1" applyBorder="1"/>
    <xf numFmtId="15" fontId="0" fillId="2" borderId="1" xfId="0" applyNumberFormat="1" applyFill="1" applyBorder="1"/>
    <xf numFmtId="0" fontId="0" fillId="2" borderId="1" xfId="0" applyFill="1" applyBorder="1" applyAlignment="1">
      <alignment wrapText="1"/>
    </xf>
    <xf numFmtId="0" fontId="3" fillId="2" borderId="1" xfId="0" applyFont="1" applyFill="1" applyBorder="1" applyAlignment="1">
      <alignment wrapText="1"/>
    </xf>
    <xf numFmtId="0" fontId="0" fillId="2" borderId="0" xfId="0" applyFill="1"/>
    <xf numFmtId="15" fontId="0" fillId="2" borderId="0" xfId="0" applyNumberFormat="1" applyFill="1"/>
    <xf numFmtId="165" fontId="0" fillId="2" borderId="0" xfId="0" applyNumberFormat="1" applyFill="1"/>
    <xf numFmtId="165" fontId="0" fillId="0" borderId="1" xfId="1" applyFont="1" applyFill="1" applyBorder="1" applyAlignment="1">
      <alignment horizontal="center"/>
    </xf>
    <xf numFmtId="165" fontId="0" fillId="0" borderId="1" xfId="1" applyFont="1" applyBorder="1" applyAlignment="1">
      <alignment horizont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Lee Hodgkinson" id="{E86F1516-C7AF-477C-A423-908A2F83DE44}" userId="S::LHodgkinso@dream.ca::1c4f6722-c6fc-4668-8da2-37ed8e1f4d7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 dT="2025-08-29T14:51:29.75" personId="{E86F1516-C7AF-477C-A423-908A2F83DE44}" id="{F8B74146-30A1-4544-9F41-80F6A12A8D99}">
    <text>Will likely need to upsize inverter capacity to meet 0.7MW minimum</text>
  </threadedComment>
  <threadedComment ref="H7" dT="2025-08-29T14:51:29.75" personId="{E86F1516-C7AF-477C-A423-908A2F83DE44}" id="{2AE207A8-0E40-4C75-BEFF-D1EC101457B6}">
    <text>Will likely need to upsize inverter capacity to meet 0.7MW minimum</text>
  </threadedComment>
  <threadedComment ref="H8" dT="2025-08-29T14:51:29.75" personId="{E86F1516-C7AF-477C-A423-908A2F83DE44}" id="{AC542A19-82FC-46B1-8C3F-01F669102011}">
    <text>Will likely need to upsize inverter capacity to meet 0.7MW minimum</text>
  </threadedComment>
  <threadedComment ref="H17" dT="2025-08-29T14:51:29.75" personId="{E86F1516-C7AF-477C-A423-908A2F83DE44}" id="{4983BBAE-ED82-4E62-8297-CF2132482E7A}">
    <text>Will likely need to upsize inverter capacity to meet 0.7MW minimum</text>
  </threadedComment>
  <threadedComment ref="H18" dT="2025-08-29T14:51:29.75" personId="{E86F1516-C7AF-477C-A423-908A2F83DE44}" id="{9A324926-7456-4F7C-97C4-4D338A0D8036}">
    <text>Will likely need to upsize inverter capacity to meet 0.7MW minimum</text>
  </threadedComment>
  <threadedComment ref="H19" dT="2025-08-29T14:51:29.75" personId="{E86F1516-C7AF-477C-A423-908A2F83DE44}" id="{C5CA9B7A-C0BC-4EB5-A1FC-5B2AF2E9DCEE}">
    <text>Will likely need to upsize inverter capacity to meet 0.7MW minimum</text>
  </threadedComment>
  <threadedComment ref="H20" dT="2025-08-29T14:51:29.75" personId="{E86F1516-C7AF-477C-A423-908A2F83DE44}" id="{D908E4E9-D559-44D5-A9F8-63A7B9D7F07D}">
    <text>Will likely need to upsize inverter capacity to meet 0.7MW minimum</text>
  </threadedComment>
  <threadedComment ref="H22" dT="2025-08-29T14:51:29.75" personId="{E86F1516-C7AF-477C-A423-908A2F83DE44}" id="{91468D06-BC13-4FE1-83FF-86CAC1A800D7}">
    <text>Will likely need to upsize inverter capacity to meet 0.7MW minimum</text>
  </threadedComment>
  <threadedComment ref="H25" dT="2025-08-29T14:51:29.75" personId="{E86F1516-C7AF-477C-A423-908A2F83DE44}" id="{2FF9B28F-37A6-4152-B4E9-A9FA1A067E9E}">
    <text>Will likely need to upsize inverter capacity to meet 0.7MW minimum</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AE0A-C52C-4860-B80C-79D626B66CF3}">
  <dimension ref="A1:H27"/>
  <sheetViews>
    <sheetView topLeftCell="A7" workbookViewId="0">
      <selection activeCell="A17" sqref="A17"/>
    </sheetView>
  </sheetViews>
  <sheetFormatPr defaultColWidth="8.85546875" defaultRowHeight="15"/>
  <cols>
    <col min="1" max="1" width="14" customWidth="1"/>
    <col min="2" max="2" width="15" customWidth="1"/>
    <col min="3" max="3" width="14.42578125" customWidth="1"/>
    <col min="5" max="5" width="11.42578125" customWidth="1"/>
    <col min="6" max="6" width="12.7109375" customWidth="1"/>
    <col min="7" max="7" width="15.7109375" customWidth="1"/>
    <col min="8" max="8" width="15.42578125" customWidth="1"/>
  </cols>
  <sheetData>
    <row r="1" spans="1:8" ht="60">
      <c r="A1" s="1" t="s">
        <v>0</v>
      </c>
      <c r="B1" s="1" t="s">
        <v>1</v>
      </c>
      <c r="C1" s="1" t="s">
        <v>2</v>
      </c>
      <c r="D1" s="1" t="s">
        <v>3</v>
      </c>
      <c r="E1" s="1" t="s">
        <v>4</v>
      </c>
      <c r="F1" s="1" t="s">
        <v>5</v>
      </c>
      <c r="G1" s="1" t="s">
        <v>6</v>
      </c>
      <c r="H1" s="1" t="s">
        <v>7</v>
      </c>
    </row>
    <row r="2" spans="1:8" ht="30">
      <c r="A2" s="2" t="s">
        <v>8</v>
      </c>
      <c r="B2" s="2" t="s">
        <v>9</v>
      </c>
      <c r="C2" s="2" t="s">
        <v>10</v>
      </c>
      <c r="D2" s="2">
        <v>1</v>
      </c>
      <c r="E2" s="3">
        <v>89000</v>
      </c>
      <c r="F2" s="2">
        <v>1973</v>
      </c>
      <c r="G2" s="3">
        <v>1113.1199999999999</v>
      </c>
      <c r="H2" s="4">
        <f t="shared" ref="H2:H13" si="0">G2/1.6</f>
        <v>695.69999999999993</v>
      </c>
    </row>
    <row r="3" spans="1:8" ht="30">
      <c r="A3" s="2" t="s">
        <v>11</v>
      </c>
      <c r="B3" s="2" t="s">
        <v>12</v>
      </c>
      <c r="C3" s="2" t="s">
        <v>13</v>
      </c>
      <c r="D3" s="2">
        <v>1</v>
      </c>
      <c r="E3" s="3">
        <v>241599</v>
      </c>
      <c r="F3" s="2">
        <v>1968</v>
      </c>
      <c r="G3" s="3">
        <v>3402.8</v>
      </c>
      <c r="H3" s="5">
        <f t="shared" si="0"/>
        <v>2126.75</v>
      </c>
    </row>
    <row r="4" spans="1:8" ht="45">
      <c r="A4" s="2" t="s">
        <v>14</v>
      </c>
      <c r="B4" s="2" t="s">
        <v>15</v>
      </c>
      <c r="C4" s="2" t="s">
        <v>16</v>
      </c>
      <c r="D4" s="2">
        <v>1</v>
      </c>
      <c r="E4" s="3">
        <v>511848</v>
      </c>
      <c r="F4" s="2">
        <v>1958</v>
      </c>
      <c r="G4" s="3">
        <v>5900.26</v>
      </c>
      <c r="H4" s="5">
        <f t="shared" si="0"/>
        <v>3687.6624999999999</v>
      </c>
    </row>
    <row r="5" spans="1:8" ht="30">
      <c r="A5" s="2" t="s">
        <v>17</v>
      </c>
      <c r="B5" s="2" t="s">
        <v>15</v>
      </c>
      <c r="C5" s="2" t="s">
        <v>18</v>
      </c>
      <c r="D5" s="2">
        <v>1</v>
      </c>
      <c r="E5" s="3">
        <v>211346</v>
      </c>
      <c r="F5" s="2">
        <v>2004</v>
      </c>
      <c r="G5" s="3">
        <v>2789.8649999999998</v>
      </c>
      <c r="H5" s="5">
        <f t="shared" si="0"/>
        <v>1743.6656249999999</v>
      </c>
    </row>
    <row r="6" spans="1:8" ht="45">
      <c r="A6" s="2" t="s">
        <v>19</v>
      </c>
      <c r="B6" s="2" t="s">
        <v>9</v>
      </c>
      <c r="C6" s="2" t="s">
        <v>20</v>
      </c>
      <c r="D6" s="2">
        <v>1</v>
      </c>
      <c r="E6" s="3">
        <v>611434</v>
      </c>
      <c r="F6" s="2">
        <v>1947</v>
      </c>
      <c r="G6" s="3">
        <v>6739.47</v>
      </c>
      <c r="H6" s="5">
        <f t="shared" si="0"/>
        <v>4212.1687499999998</v>
      </c>
    </row>
    <row r="7" spans="1:8" ht="30">
      <c r="A7" s="2" t="s">
        <v>21</v>
      </c>
      <c r="B7" s="2" t="s">
        <v>22</v>
      </c>
      <c r="C7" s="2" t="s">
        <v>23</v>
      </c>
      <c r="D7" s="2">
        <v>1</v>
      </c>
      <c r="E7" s="3">
        <v>111103</v>
      </c>
      <c r="F7" s="2">
        <v>1975</v>
      </c>
      <c r="G7" s="3">
        <v>1436.2879999999998</v>
      </c>
      <c r="H7" s="4">
        <f t="shared" si="0"/>
        <v>897.67999999999984</v>
      </c>
    </row>
    <row r="8" spans="1:8" ht="45">
      <c r="A8" s="2" t="s">
        <v>24</v>
      </c>
      <c r="B8" s="2" t="s">
        <v>9</v>
      </c>
      <c r="C8" s="2" t="s">
        <v>25</v>
      </c>
      <c r="D8" s="2">
        <v>1</v>
      </c>
      <c r="E8" s="3">
        <v>115000</v>
      </c>
      <c r="F8" s="2">
        <v>1972</v>
      </c>
      <c r="G8" s="3">
        <v>1122.3</v>
      </c>
      <c r="H8" s="4">
        <f t="shared" si="0"/>
        <v>701.43749999999989</v>
      </c>
    </row>
    <row r="9" spans="1:8" ht="30">
      <c r="A9" s="2" t="s">
        <v>26</v>
      </c>
      <c r="B9" s="2" t="s">
        <v>27</v>
      </c>
      <c r="C9" s="2" t="s">
        <v>28</v>
      </c>
      <c r="D9" s="2">
        <v>1</v>
      </c>
      <c r="E9" s="3">
        <v>154374</v>
      </c>
      <c r="F9" s="2">
        <v>1990</v>
      </c>
      <c r="G9" s="3">
        <v>1951.67</v>
      </c>
      <c r="H9" s="5">
        <f t="shared" si="0"/>
        <v>1219.79375</v>
      </c>
    </row>
    <row r="10" spans="1:8" ht="30">
      <c r="A10" s="2" t="s">
        <v>29</v>
      </c>
      <c r="B10" s="2" t="s">
        <v>22</v>
      </c>
      <c r="C10" s="2" t="s">
        <v>30</v>
      </c>
      <c r="D10" s="2">
        <v>1</v>
      </c>
      <c r="E10" s="3">
        <v>155892</v>
      </c>
      <c r="F10" s="2">
        <v>1990</v>
      </c>
      <c r="G10" s="3">
        <v>1929.4200000000003</v>
      </c>
      <c r="H10" s="5">
        <f t="shared" si="0"/>
        <v>1205.8875</v>
      </c>
    </row>
    <row r="11" spans="1:8" ht="30">
      <c r="A11" s="2" t="s">
        <v>31</v>
      </c>
      <c r="B11" s="2" t="s">
        <v>9</v>
      </c>
      <c r="C11" s="2" t="s">
        <v>32</v>
      </c>
      <c r="D11" s="2">
        <v>1</v>
      </c>
      <c r="E11" s="3">
        <v>157208</v>
      </c>
      <c r="F11" s="2">
        <v>1980</v>
      </c>
      <c r="G11" s="3">
        <v>2044.3050000000001</v>
      </c>
      <c r="H11" s="5">
        <f t="shared" si="0"/>
        <v>1277.690625</v>
      </c>
    </row>
    <row r="12" spans="1:8" ht="30">
      <c r="A12" s="2" t="s">
        <v>33</v>
      </c>
      <c r="B12" s="2" t="s">
        <v>27</v>
      </c>
      <c r="C12" s="2" t="s">
        <v>34</v>
      </c>
      <c r="D12" s="2" t="s">
        <v>35</v>
      </c>
      <c r="E12" s="3">
        <v>534111</v>
      </c>
      <c r="F12" s="2">
        <v>2003</v>
      </c>
      <c r="G12" s="3">
        <v>6100.92</v>
      </c>
      <c r="H12" s="5">
        <f t="shared" si="0"/>
        <v>3813.0749999999998</v>
      </c>
    </row>
    <row r="13" spans="1:8" ht="30">
      <c r="A13" s="2" t="s">
        <v>36</v>
      </c>
      <c r="B13" s="2" t="s">
        <v>15</v>
      </c>
      <c r="C13" s="2" t="s">
        <v>37</v>
      </c>
      <c r="D13" s="2">
        <v>1</v>
      </c>
      <c r="E13" s="3">
        <v>68093</v>
      </c>
      <c r="F13" s="2">
        <v>1964</v>
      </c>
      <c r="G13" s="3">
        <v>4547.0700000000006</v>
      </c>
      <c r="H13" s="5">
        <f t="shared" si="0"/>
        <v>2841.9187500000003</v>
      </c>
    </row>
    <row r="14" spans="1:8" ht="30">
      <c r="A14" s="2">
        <v>21025</v>
      </c>
      <c r="B14" s="2" t="s">
        <v>38</v>
      </c>
      <c r="C14" s="2" t="s">
        <v>39</v>
      </c>
      <c r="D14" s="2">
        <v>1</v>
      </c>
      <c r="E14" s="3">
        <v>326345</v>
      </c>
      <c r="F14" s="2">
        <v>1993</v>
      </c>
      <c r="G14" s="5">
        <v>2392.2000000000003</v>
      </c>
      <c r="H14" s="5">
        <f>G14/1.6</f>
        <v>1495.125</v>
      </c>
    </row>
    <row r="15" spans="1:8" ht="30">
      <c r="A15" s="2">
        <v>21027</v>
      </c>
      <c r="B15" s="2" t="s">
        <v>40</v>
      </c>
      <c r="C15" s="2" t="s">
        <v>41</v>
      </c>
      <c r="D15" s="2">
        <v>1</v>
      </c>
      <c r="E15" s="3">
        <v>165000</v>
      </c>
      <c r="F15" s="2">
        <v>1999</v>
      </c>
      <c r="G15" s="5">
        <v>2241.2700000000004</v>
      </c>
      <c r="H15" s="5">
        <f t="shared" ref="H15:H27" si="1">G15/1.6</f>
        <v>1400.7937500000003</v>
      </c>
    </row>
    <row r="16" spans="1:8" ht="30">
      <c r="A16" s="2">
        <v>21051</v>
      </c>
      <c r="B16" s="2" t="s">
        <v>42</v>
      </c>
      <c r="C16" s="2" t="s">
        <v>43</v>
      </c>
      <c r="D16" s="2" t="s">
        <v>35</v>
      </c>
      <c r="E16" s="3">
        <v>210710</v>
      </c>
      <c r="F16" s="2">
        <v>2000</v>
      </c>
      <c r="G16" s="5">
        <v>2168.8599999999997</v>
      </c>
      <c r="H16" s="5">
        <f t="shared" si="1"/>
        <v>1355.5374999999997</v>
      </c>
    </row>
    <row r="17" spans="1:8" ht="45">
      <c r="A17" s="2">
        <v>21226</v>
      </c>
      <c r="B17" s="2" t="s">
        <v>38</v>
      </c>
      <c r="C17" s="2" t="s">
        <v>44</v>
      </c>
      <c r="D17" s="2">
        <v>1</v>
      </c>
      <c r="E17" s="3">
        <v>108292</v>
      </c>
      <c r="F17" s="2">
        <v>1978</v>
      </c>
      <c r="G17" s="5">
        <v>1197.3800000000001</v>
      </c>
      <c r="H17" s="4">
        <f t="shared" si="1"/>
        <v>748.36250000000007</v>
      </c>
    </row>
    <row r="18" spans="1:8" ht="30">
      <c r="A18" s="2">
        <v>21229</v>
      </c>
      <c r="B18" s="2" t="s">
        <v>38</v>
      </c>
      <c r="C18" s="2" t="s">
        <v>45</v>
      </c>
      <c r="D18" s="2">
        <v>1</v>
      </c>
      <c r="E18" s="3">
        <v>86842</v>
      </c>
      <c r="F18" s="2">
        <v>1987</v>
      </c>
      <c r="G18" s="5">
        <v>1134.9649999999999</v>
      </c>
      <c r="H18" s="4">
        <f t="shared" si="1"/>
        <v>709.35312499999986</v>
      </c>
    </row>
    <row r="19" spans="1:8">
      <c r="A19" s="2">
        <v>21230</v>
      </c>
      <c r="B19" s="2" t="s">
        <v>38</v>
      </c>
      <c r="C19" s="2" t="s">
        <v>46</v>
      </c>
      <c r="D19" s="2">
        <v>1</v>
      </c>
      <c r="E19" s="3">
        <v>82051</v>
      </c>
      <c r="F19" s="2">
        <v>1989</v>
      </c>
      <c r="G19" s="5">
        <v>1050.3899999999999</v>
      </c>
      <c r="H19" s="4">
        <f t="shared" si="1"/>
        <v>656.49374999999986</v>
      </c>
    </row>
    <row r="20" spans="1:8" ht="30">
      <c r="A20" s="2">
        <v>21231</v>
      </c>
      <c r="B20" s="2" t="s">
        <v>38</v>
      </c>
      <c r="C20" s="2" t="s">
        <v>47</v>
      </c>
      <c r="D20" s="2">
        <v>1</v>
      </c>
      <c r="E20" s="3">
        <v>81288</v>
      </c>
      <c r="F20" s="2">
        <v>1985</v>
      </c>
      <c r="G20" s="5">
        <v>1074.83</v>
      </c>
      <c r="H20" s="4">
        <f t="shared" si="1"/>
        <v>671.76874999999995</v>
      </c>
    </row>
    <row r="21" spans="1:8" ht="30">
      <c r="A21" s="2">
        <v>21317</v>
      </c>
      <c r="B21" s="2" t="s">
        <v>38</v>
      </c>
      <c r="C21" s="2" t="s">
        <v>48</v>
      </c>
      <c r="D21" s="2">
        <v>1</v>
      </c>
      <c r="E21" s="3">
        <v>71616</v>
      </c>
      <c r="F21" s="2">
        <v>1986</v>
      </c>
      <c r="G21" s="5">
        <v>1444.23</v>
      </c>
      <c r="H21" s="5">
        <f t="shared" si="1"/>
        <v>902.64374999999995</v>
      </c>
    </row>
    <row r="22" spans="1:8" ht="30">
      <c r="A22" s="2">
        <v>21318</v>
      </c>
      <c r="B22" s="2" t="s">
        <v>38</v>
      </c>
      <c r="C22" s="2" t="s">
        <v>49</v>
      </c>
      <c r="D22" s="2">
        <v>1</v>
      </c>
      <c r="E22" s="3">
        <v>84659</v>
      </c>
      <c r="F22" s="2">
        <v>1987</v>
      </c>
      <c r="G22" s="5">
        <v>1114.635</v>
      </c>
      <c r="H22" s="4">
        <f t="shared" si="1"/>
        <v>696.64687499999991</v>
      </c>
    </row>
    <row r="23" spans="1:8" ht="30">
      <c r="A23" s="2">
        <v>21319</v>
      </c>
      <c r="B23" s="2" t="s">
        <v>50</v>
      </c>
      <c r="C23" s="2" t="s">
        <v>51</v>
      </c>
      <c r="D23" s="2" t="s">
        <v>35</v>
      </c>
      <c r="E23" s="3">
        <v>222464</v>
      </c>
      <c r="F23" s="2">
        <v>1967</v>
      </c>
      <c r="G23" s="5">
        <v>2757.85</v>
      </c>
      <c r="H23" s="5">
        <f t="shared" si="1"/>
        <v>1723.6562499999998</v>
      </c>
    </row>
    <row r="24" spans="1:8" ht="30">
      <c r="A24" s="2">
        <v>21344</v>
      </c>
      <c r="B24" s="2" t="s">
        <v>38</v>
      </c>
      <c r="C24" s="2" t="s">
        <v>52</v>
      </c>
      <c r="D24" s="2">
        <v>1</v>
      </c>
      <c r="E24" s="3">
        <v>130736</v>
      </c>
      <c r="F24" s="2">
        <v>1975</v>
      </c>
      <c r="G24" s="5">
        <v>1506.8899999999999</v>
      </c>
      <c r="H24" s="5">
        <f t="shared" si="1"/>
        <v>941.80624999999986</v>
      </c>
    </row>
    <row r="25" spans="1:8" ht="30">
      <c r="A25" s="2">
        <v>21383</v>
      </c>
      <c r="B25" s="2" t="s">
        <v>38</v>
      </c>
      <c r="C25" s="2" t="s">
        <v>53</v>
      </c>
      <c r="D25" s="2">
        <v>1</v>
      </c>
      <c r="E25" s="3">
        <v>79875</v>
      </c>
      <c r="F25" s="2">
        <v>1975</v>
      </c>
      <c r="G25" s="5">
        <v>1082.1449999999998</v>
      </c>
      <c r="H25" s="4">
        <f t="shared" si="1"/>
        <v>676.34062499999982</v>
      </c>
    </row>
    <row r="26" spans="1:8" ht="30">
      <c r="A26" s="2">
        <v>21390</v>
      </c>
      <c r="B26" s="2" t="s">
        <v>38</v>
      </c>
      <c r="C26" s="2" t="s">
        <v>54</v>
      </c>
      <c r="D26" s="2">
        <v>1</v>
      </c>
      <c r="E26" s="3">
        <v>753072</v>
      </c>
      <c r="F26" s="2">
        <v>2005</v>
      </c>
      <c r="G26" s="5">
        <v>9767.52</v>
      </c>
      <c r="H26" s="5">
        <f t="shared" si="1"/>
        <v>6104.7</v>
      </c>
    </row>
    <row r="27" spans="1:8" ht="30">
      <c r="A27" s="2">
        <v>21391</v>
      </c>
      <c r="B27" s="2" t="s">
        <v>38</v>
      </c>
      <c r="C27" s="2" t="s">
        <v>55</v>
      </c>
      <c r="D27" s="2">
        <v>1</v>
      </c>
      <c r="E27" s="3">
        <v>365694</v>
      </c>
      <c r="F27" s="2">
        <v>2003</v>
      </c>
      <c r="G27" s="5">
        <v>4860.9960000000001</v>
      </c>
      <c r="H27" s="5">
        <f t="shared" si="1"/>
        <v>3038.1224999999999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3E03-5D71-4C86-AA58-956D0AC02F4A}">
  <dimension ref="A3:AC48"/>
  <sheetViews>
    <sheetView tabSelected="1" workbookViewId="0">
      <pane xSplit="2" ySplit="5" topLeftCell="C7" activePane="bottomRight" state="frozen"/>
      <selection pane="bottomRight" activeCell="A7" sqref="A7"/>
      <selection pane="bottomLeft" activeCell="A6" sqref="A6"/>
      <selection pane="topRight" activeCell="C1" sqref="C1"/>
    </sheetView>
  </sheetViews>
  <sheetFormatPr defaultColWidth="8.85546875" defaultRowHeight="15"/>
  <cols>
    <col min="1" max="1" width="13.28515625" customWidth="1"/>
    <col min="2" max="2" width="21.42578125" customWidth="1"/>
    <col min="3" max="3" width="19.28515625" style="46" customWidth="1"/>
    <col min="4" max="4" width="19.42578125" customWidth="1"/>
    <col min="5" max="5" width="29.28515625" customWidth="1"/>
    <col min="6" max="6" width="21.5703125" customWidth="1"/>
    <col min="7" max="7" width="29.140625" customWidth="1"/>
    <col min="8" max="8" width="20.85546875" customWidth="1"/>
    <col min="9" max="13" width="14.140625" customWidth="1"/>
    <col min="14" max="14" width="21.140625" customWidth="1"/>
    <col min="15" max="15" width="18.28515625" customWidth="1"/>
    <col min="16" max="16" width="21" customWidth="1"/>
    <col min="17" max="18" width="14.140625" customWidth="1"/>
    <col min="19" max="19" width="15.85546875" customWidth="1"/>
    <col min="20" max="20" width="16.28515625" customWidth="1"/>
    <col min="21" max="21" width="21.7109375" style="18" customWidth="1"/>
    <col min="22" max="22" width="21.42578125" style="18" customWidth="1"/>
    <col min="23" max="23" width="18.42578125" style="18" customWidth="1"/>
    <col min="24" max="24" width="17.42578125" customWidth="1"/>
    <col min="25" max="25" width="17.140625" customWidth="1"/>
    <col min="26" max="26" width="18.85546875" customWidth="1"/>
    <col min="27" max="28" width="18.5703125" customWidth="1"/>
    <col min="29" max="29" width="10.42578125" bestFit="1" customWidth="1"/>
  </cols>
  <sheetData>
    <row r="3" spans="1:29">
      <c r="B3" s="1" t="s">
        <v>0</v>
      </c>
      <c r="C3" s="38" t="s">
        <v>8</v>
      </c>
      <c r="D3" s="2" t="s">
        <v>11</v>
      </c>
      <c r="E3" s="2" t="s">
        <v>14</v>
      </c>
      <c r="F3" s="2" t="s">
        <v>17</v>
      </c>
      <c r="G3" s="2" t="s">
        <v>19</v>
      </c>
      <c r="H3" s="2" t="s">
        <v>21</v>
      </c>
      <c r="I3" s="2" t="s">
        <v>24</v>
      </c>
      <c r="J3" s="2" t="s">
        <v>26</v>
      </c>
      <c r="K3" s="2" t="s">
        <v>29</v>
      </c>
      <c r="L3" s="2" t="s">
        <v>31</v>
      </c>
      <c r="M3" s="2" t="s">
        <v>33</v>
      </c>
      <c r="N3" s="2" t="s">
        <v>36</v>
      </c>
      <c r="O3" s="2">
        <v>21025</v>
      </c>
      <c r="P3" s="2">
        <v>21027</v>
      </c>
      <c r="Q3" s="2">
        <v>21051</v>
      </c>
      <c r="R3" s="2">
        <v>21226</v>
      </c>
      <c r="S3" s="2">
        <v>21229</v>
      </c>
      <c r="T3" s="2">
        <v>21230</v>
      </c>
      <c r="U3" s="13">
        <v>21231</v>
      </c>
      <c r="V3" s="13">
        <v>21317</v>
      </c>
      <c r="W3" s="13">
        <v>21318</v>
      </c>
      <c r="X3" s="2">
        <v>21319</v>
      </c>
      <c r="Y3" s="2">
        <v>21344</v>
      </c>
      <c r="Z3" s="2">
        <v>21383</v>
      </c>
      <c r="AA3" s="2">
        <v>21390</v>
      </c>
      <c r="AB3" s="2">
        <v>21391</v>
      </c>
    </row>
    <row r="4" spans="1:29" ht="30.75" customHeight="1">
      <c r="B4" s="1" t="s">
        <v>1</v>
      </c>
      <c r="C4" s="38" t="s">
        <v>9</v>
      </c>
      <c r="D4" s="2" t="s">
        <v>12</v>
      </c>
      <c r="E4" s="2" t="s">
        <v>15</v>
      </c>
      <c r="F4" s="2" t="s">
        <v>15</v>
      </c>
      <c r="G4" s="2" t="s">
        <v>9</v>
      </c>
      <c r="H4" s="2" t="s">
        <v>22</v>
      </c>
      <c r="I4" s="2" t="s">
        <v>9</v>
      </c>
      <c r="J4" s="2" t="s">
        <v>27</v>
      </c>
      <c r="K4" s="2" t="s">
        <v>22</v>
      </c>
      <c r="L4" s="2" t="s">
        <v>9</v>
      </c>
      <c r="M4" s="2" t="s">
        <v>27</v>
      </c>
      <c r="N4" s="2" t="s">
        <v>15</v>
      </c>
      <c r="O4" s="2" t="s">
        <v>38</v>
      </c>
      <c r="P4" s="2" t="s">
        <v>40</v>
      </c>
      <c r="Q4" s="2" t="s">
        <v>42</v>
      </c>
      <c r="R4" s="2" t="s">
        <v>38</v>
      </c>
      <c r="S4" s="2" t="s">
        <v>38</v>
      </c>
      <c r="T4" s="2" t="s">
        <v>38</v>
      </c>
      <c r="U4" s="13" t="s">
        <v>38</v>
      </c>
      <c r="V4" s="13" t="s">
        <v>38</v>
      </c>
      <c r="W4" s="13" t="s">
        <v>38</v>
      </c>
      <c r="X4" s="2" t="s">
        <v>50</v>
      </c>
      <c r="Y4" s="2" t="s">
        <v>38</v>
      </c>
      <c r="Z4" s="2" t="s">
        <v>38</v>
      </c>
      <c r="AA4" s="2" t="s">
        <v>38</v>
      </c>
      <c r="AB4" s="2" t="s">
        <v>38</v>
      </c>
    </row>
    <row r="5" spans="1:29" ht="59.25" customHeight="1">
      <c r="B5" s="1" t="s">
        <v>2</v>
      </c>
      <c r="C5" s="38" t="s">
        <v>10</v>
      </c>
      <c r="D5" s="2" t="s">
        <v>13</v>
      </c>
      <c r="E5" s="2" t="s">
        <v>16</v>
      </c>
      <c r="F5" s="2" t="s">
        <v>18</v>
      </c>
      <c r="G5" s="2" t="s">
        <v>20</v>
      </c>
      <c r="H5" s="2" t="s">
        <v>23</v>
      </c>
      <c r="I5" s="2" t="s">
        <v>25</v>
      </c>
      <c r="J5" s="2" t="s">
        <v>28</v>
      </c>
      <c r="K5" s="2" t="s">
        <v>30</v>
      </c>
      <c r="L5" s="2" t="s">
        <v>32</v>
      </c>
      <c r="M5" s="2" t="s">
        <v>34</v>
      </c>
      <c r="N5" s="2" t="s">
        <v>37</v>
      </c>
      <c r="O5" s="2" t="s">
        <v>39</v>
      </c>
      <c r="P5" s="2" t="s">
        <v>41</v>
      </c>
      <c r="Q5" s="2" t="s">
        <v>43</v>
      </c>
      <c r="R5" s="2" t="s">
        <v>44</v>
      </c>
      <c r="S5" s="2" t="s">
        <v>45</v>
      </c>
      <c r="T5" s="2" t="s">
        <v>46</v>
      </c>
      <c r="U5" s="13" t="s">
        <v>47</v>
      </c>
      <c r="V5" s="13" t="s">
        <v>48</v>
      </c>
      <c r="W5" s="13" t="s">
        <v>49</v>
      </c>
      <c r="X5" s="2" t="s">
        <v>51</v>
      </c>
      <c r="Y5" s="2" t="s">
        <v>52</v>
      </c>
      <c r="Z5" s="2" t="s">
        <v>53</v>
      </c>
      <c r="AA5" s="2" t="s">
        <v>54</v>
      </c>
      <c r="AB5" s="2" t="s">
        <v>55</v>
      </c>
    </row>
    <row r="6" spans="1:29" ht="59.25" customHeight="1">
      <c r="B6" s="1" t="s">
        <v>56</v>
      </c>
      <c r="C6" s="38" t="s">
        <v>57</v>
      </c>
      <c r="D6" s="2" t="s">
        <v>57</v>
      </c>
      <c r="E6" s="2" t="s">
        <v>57</v>
      </c>
      <c r="F6" s="2" t="s">
        <v>57</v>
      </c>
      <c r="G6" s="2" t="s">
        <v>57</v>
      </c>
      <c r="H6" s="2" t="s">
        <v>57</v>
      </c>
      <c r="I6" s="2" t="s">
        <v>57</v>
      </c>
      <c r="J6" s="2" t="s">
        <v>57</v>
      </c>
      <c r="K6" s="2" t="s">
        <v>57</v>
      </c>
      <c r="L6" s="2" t="s">
        <v>57</v>
      </c>
      <c r="M6" s="2" t="s">
        <v>57</v>
      </c>
      <c r="N6" s="2" t="s">
        <v>57</v>
      </c>
      <c r="O6" s="29" t="s">
        <v>57</v>
      </c>
      <c r="P6" s="2" t="s">
        <v>58</v>
      </c>
      <c r="Q6" s="2" t="s">
        <v>58</v>
      </c>
      <c r="R6" s="2" t="s">
        <v>58</v>
      </c>
      <c r="S6" s="2" t="s">
        <v>58</v>
      </c>
      <c r="T6" s="2" t="s">
        <v>58</v>
      </c>
      <c r="U6" s="13" t="s">
        <v>58</v>
      </c>
      <c r="V6" s="13" t="s">
        <v>58</v>
      </c>
      <c r="W6" s="13" t="s">
        <v>58</v>
      </c>
      <c r="X6" s="2" t="s">
        <v>58</v>
      </c>
      <c r="Y6" s="2" t="s">
        <v>58</v>
      </c>
      <c r="Z6" s="2" t="s">
        <v>58</v>
      </c>
      <c r="AA6" s="2" t="s">
        <v>58</v>
      </c>
      <c r="AB6" s="2" t="s">
        <v>58</v>
      </c>
    </row>
    <row r="7" spans="1:29">
      <c r="B7" s="1" t="s">
        <v>4</v>
      </c>
      <c r="C7" s="39">
        <v>89000</v>
      </c>
      <c r="D7" s="3">
        <v>241599</v>
      </c>
      <c r="E7" s="30">
        <v>511848</v>
      </c>
      <c r="F7" s="3">
        <v>211346</v>
      </c>
      <c r="G7" s="30">
        <v>611434</v>
      </c>
      <c r="H7" s="3">
        <v>111103</v>
      </c>
      <c r="I7" s="30">
        <v>115000</v>
      </c>
      <c r="J7" s="3">
        <v>154374</v>
      </c>
      <c r="K7" s="3">
        <v>155892</v>
      </c>
      <c r="L7" s="30">
        <v>157208</v>
      </c>
      <c r="M7" s="3">
        <v>534111</v>
      </c>
      <c r="N7" s="39">
        <v>380553</v>
      </c>
      <c r="O7" s="3">
        <v>326345</v>
      </c>
      <c r="P7" s="30">
        <v>165000</v>
      </c>
      <c r="Q7" s="30">
        <v>210710</v>
      </c>
      <c r="R7" s="3">
        <v>108292</v>
      </c>
      <c r="S7" s="3">
        <v>86842</v>
      </c>
      <c r="T7" s="30">
        <v>82051</v>
      </c>
      <c r="U7" s="14">
        <v>81288</v>
      </c>
      <c r="V7" s="14">
        <v>71616</v>
      </c>
      <c r="W7" s="14">
        <v>84659</v>
      </c>
      <c r="X7" s="30">
        <v>222464</v>
      </c>
      <c r="Y7" s="3">
        <v>130736</v>
      </c>
      <c r="Z7" s="30">
        <v>79875</v>
      </c>
      <c r="AA7" s="3">
        <v>753072</v>
      </c>
      <c r="AB7" s="3">
        <v>365694</v>
      </c>
    </row>
    <row r="8" spans="1:29">
      <c r="B8" s="1" t="s">
        <v>5</v>
      </c>
      <c r="C8" s="38">
        <v>1973</v>
      </c>
      <c r="D8" s="2">
        <v>1968</v>
      </c>
      <c r="E8" s="2">
        <v>1958</v>
      </c>
      <c r="F8" s="2">
        <v>2004</v>
      </c>
      <c r="G8" s="2">
        <v>1947</v>
      </c>
      <c r="H8" s="2">
        <v>1975</v>
      </c>
      <c r="I8" s="2">
        <v>1972</v>
      </c>
      <c r="J8" s="2">
        <v>1990</v>
      </c>
      <c r="K8" s="2">
        <v>1990</v>
      </c>
      <c r="L8" s="2">
        <v>1980</v>
      </c>
      <c r="M8" s="2">
        <v>2003</v>
      </c>
      <c r="N8" s="2">
        <v>1964</v>
      </c>
      <c r="O8" s="2">
        <v>1993</v>
      </c>
      <c r="P8" s="2">
        <v>1999</v>
      </c>
      <c r="Q8" s="2">
        <v>2000</v>
      </c>
      <c r="R8" s="2">
        <v>1978</v>
      </c>
      <c r="S8" s="2">
        <v>1987</v>
      </c>
      <c r="T8" s="2">
        <v>1989</v>
      </c>
      <c r="U8" s="13">
        <v>1985</v>
      </c>
      <c r="V8" s="13">
        <v>1986</v>
      </c>
      <c r="W8" s="13">
        <v>1987</v>
      </c>
      <c r="X8" s="2">
        <v>1967</v>
      </c>
      <c r="Y8" s="2">
        <v>1975</v>
      </c>
      <c r="Z8" s="2">
        <v>1975</v>
      </c>
      <c r="AA8" s="2">
        <v>2005</v>
      </c>
      <c r="AB8" s="2">
        <v>2003</v>
      </c>
    </row>
    <row r="9" spans="1:29" ht="54" customHeight="1">
      <c r="B9" s="1" t="s">
        <v>59</v>
      </c>
      <c r="C9" s="39">
        <v>1113.1199999999999</v>
      </c>
      <c r="D9" s="3">
        <v>3402.8</v>
      </c>
      <c r="E9" s="30">
        <v>5900.26</v>
      </c>
      <c r="F9" s="3">
        <v>2789.8649999999998</v>
      </c>
      <c r="G9" s="30">
        <v>6739.47</v>
      </c>
      <c r="H9" s="3">
        <v>1436.2879999999998</v>
      </c>
      <c r="I9" s="30">
        <v>1122.3</v>
      </c>
      <c r="J9" s="3">
        <v>1951.67</v>
      </c>
      <c r="K9" s="3">
        <v>1929.4200000000003</v>
      </c>
      <c r="L9" s="30">
        <v>2044.3050000000001</v>
      </c>
      <c r="M9" s="3">
        <v>6100.92</v>
      </c>
      <c r="N9" s="3">
        <v>4547.0700000000006</v>
      </c>
      <c r="O9" s="5">
        <v>2392.2000000000003</v>
      </c>
      <c r="P9" s="6">
        <v>2241.2700000000004</v>
      </c>
      <c r="Q9" s="6">
        <v>2168.8599999999997</v>
      </c>
      <c r="R9" s="5">
        <v>1197.3800000000001</v>
      </c>
      <c r="S9" s="5">
        <v>1134.9649999999999</v>
      </c>
      <c r="T9" s="6">
        <v>1050.3899999999999</v>
      </c>
      <c r="U9" s="15">
        <v>1074.83</v>
      </c>
      <c r="V9" s="15">
        <v>1444.23</v>
      </c>
      <c r="W9" s="15">
        <v>1114.635</v>
      </c>
      <c r="X9" s="6">
        <v>2757.85</v>
      </c>
      <c r="Y9" s="5">
        <v>1506.8899999999999</v>
      </c>
      <c r="Z9" s="6">
        <v>1082.1449999999998</v>
      </c>
      <c r="AA9" s="5">
        <v>9767.52</v>
      </c>
      <c r="AB9" s="5">
        <v>4860.9960000000001</v>
      </c>
      <c r="AC9" s="21"/>
    </row>
    <row r="10" spans="1:29" ht="33" customHeight="1">
      <c r="B10" s="1" t="s">
        <v>7</v>
      </c>
      <c r="C10" s="4">
        <f t="shared" ref="C10:AB10" si="0">C9/1.6</f>
        <v>695.69999999999993</v>
      </c>
      <c r="D10" s="6">
        <f t="shared" si="0"/>
        <v>2126.75</v>
      </c>
      <c r="E10" s="6">
        <f t="shared" si="0"/>
        <v>3687.6624999999999</v>
      </c>
      <c r="F10" s="6">
        <f t="shared" si="0"/>
        <v>1743.6656249999999</v>
      </c>
      <c r="G10" s="6">
        <f t="shared" si="0"/>
        <v>4212.1687499999998</v>
      </c>
      <c r="H10" s="6">
        <f t="shared" si="0"/>
        <v>897.67999999999984</v>
      </c>
      <c r="I10" s="6">
        <f t="shared" si="0"/>
        <v>701.43749999999989</v>
      </c>
      <c r="J10" s="5">
        <f t="shared" si="0"/>
        <v>1219.79375</v>
      </c>
      <c r="K10" s="5">
        <f t="shared" si="0"/>
        <v>1205.8875</v>
      </c>
      <c r="L10" s="6">
        <f t="shared" si="0"/>
        <v>1277.690625</v>
      </c>
      <c r="M10" s="5">
        <f t="shared" si="0"/>
        <v>3813.0749999999998</v>
      </c>
      <c r="N10" s="5">
        <f t="shared" si="0"/>
        <v>2841.9187500000003</v>
      </c>
      <c r="O10" s="5">
        <f t="shared" si="0"/>
        <v>1495.125</v>
      </c>
      <c r="P10" s="6">
        <f t="shared" si="0"/>
        <v>1400.7937500000003</v>
      </c>
      <c r="Q10" s="6">
        <f t="shared" si="0"/>
        <v>1355.5374999999997</v>
      </c>
      <c r="R10" s="6">
        <f t="shared" si="0"/>
        <v>748.36250000000007</v>
      </c>
      <c r="S10" s="6">
        <f t="shared" si="0"/>
        <v>709.35312499999986</v>
      </c>
      <c r="T10" s="6">
        <f t="shared" si="0"/>
        <v>656.49374999999986</v>
      </c>
      <c r="U10" s="15">
        <f t="shared" si="0"/>
        <v>671.76874999999995</v>
      </c>
      <c r="V10" s="15">
        <f t="shared" si="0"/>
        <v>902.64374999999995</v>
      </c>
      <c r="W10" s="15">
        <f t="shared" si="0"/>
        <v>696.64687499999991</v>
      </c>
      <c r="X10" s="6">
        <f t="shared" si="0"/>
        <v>1723.6562499999998</v>
      </c>
      <c r="Y10" s="6">
        <f t="shared" si="0"/>
        <v>941.80624999999986</v>
      </c>
      <c r="Z10" s="6">
        <f t="shared" si="0"/>
        <v>676.34062499999982</v>
      </c>
      <c r="AA10" s="5">
        <f t="shared" si="0"/>
        <v>6104.7</v>
      </c>
      <c r="AB10" s="5">
        <f t="shared" si="0"/>
        <v>3038.1224999999999</v>
      </c>
    </row>
    <row r="11" spans="1:29" ht="33" customHeight="1">
      <c r="B11" s="1" t="s">
        <v>60</v>
      </c>
      <c r="C11" s="40">
        <v>845.3</v>
      </c>
      <c r="D11" s="23">
        <v>2705.6</v>
      </c>
      <c r="E11" s="23">
        <v>4885</v>
      </c>
      <c r="F11" s="23">
        <v>2448.1</v>
      </c>
      <c r="G11" s="23">
        <v>6055</v>
      </c>
      <c r="H11" s="23">
        <v>1331.9</v>
      </c>
      <c r="I11" s="23">
        <v>907.5</v>
      </c>
      <c r="J11" s="25">
        <v>1650</v>
      </c>
      <c r="K11" s="25">
        <v>1510</v>
      </c>
      <c r="L11" s="23">
        <v>1813.8</v>
      </c>
      <c r="M11" s="25">
        <v>6205.6</v>
      </c>
      <c r="N11" s="25">
        <v>4237.5</v>
      </c>
      <c r="O11" s="26">
        <v>3282.5</v>
      </c>
      <c r="P11" s="49">
        <v>1774.4</v>
      </c>
      <c r="Q11" s="23">
        <v>1906.25</v>
      </c>
      <c r="R11" s="50">
        <v>1008.8</v>
      </c>
      <c r="S11" s="50">
        <v>906.3</v>
      </c>
      <c r="T11" s="49">
        <v>875</v>
      </c>
      <c r="U11" s="24"/>
      <c r="V11" s="24"/>
      <c r="W11" s="24"/>
      <c r="X11" s="49">
        <v>2562.5</v>
      </c>
      <c r="Y11" s="50">
        <v>1251.9000000000001</v>
      </c>
      <c r="Z11" s="23">
        <v>899.4</v>
      </c>
      <c r="AA11" s="25">
        <v>8865.6</v>
      </c>
      <c r="AB11" s="50">
        <v>4261.8999999999996</v>
      </c>
      <c r="AC11" s="20"/>
    </row>
    <row r="12" spans="1:29" ht="144.75" customHeight="1">
      <c r="B12" s="1" t="s">
        <v>61</v>
      </c>
      <c r="C12" s="38" t="s">
        <v>62</v>
      </c>
      <c r="D12" s="2" t="s">
        <v>63</v>
      </c>
      <c r="E12" s="2" t="s">
        <v>64</v>
      </c>
      <c r="F12" s="2" t="s">
        <v>65</v>
      </c>
      <c r="G12" s="2" t="s">
        <v>66</v>
      </c>
      <c r="H12" s="2" t="s">
        <v>67</v>
      </c>
      <c r="I12" s="2" t="s">
        <v>68</v>
      </c>
      <c r="J12" s="2" t="s">
        <v>69</v>
      </c>
      <c r="K12" s="2" t="s">
        <v>70</v>
      </c>
      <c r="L12" s="2" t="s">
        <v>71</v>
      </c>
      <c r="M12" s="2" t="s">
        <v>72</v>
      </c>
      <c r="N12" s="2" t="s">
        <v>69</v>
      </c>
      <c r="O12" s="2" t="s">
        <v>73</v>
      </c>
      <c r="P12" s="2" t="s">
        <v>74</v>
      </c>
      <c r="Q12" s="2" t="s">
        <v>75</v>
      </c>
      <c r="R12" s="2" t="s">
        <v>76</v>
      </c>
      <c r="S12" s="2" t="s">
        <v>77</v>
      </c>
      <c r="T12" s="2" t="s">
        <v>78</v>
      </c>
      <c r="U12" s="13" t="s">
        <v>79</v>
      </c>
      <c r="V12" s="13" t="s">
        <v>80</v>
      </c>
      <c r="W12" s="13" t="s">
        <v>81</v>
      </c>
      <c r="X12" s="2" t="s">
        <v>82</v>
      </c>
      <c r="Y12" s="2" t="s">
        <v>83</v>
      </c>
      <c r="Z12" s="2" t="s">
        <v>84</v>
      </c>
      <c r="AA12" s="2" t="s">
        <v>85</v>
      </c>
      <c r="AB12" s="2" t="s">
        <v>86</v>
      </c>
    </row>
    <row r="13" spans="1:29" ht="338.25" customHeight="1">
      <c r="B13" s="1" t="s">
        <v>87</v>
      </c>
      <c r="C13" s="38"/>
      <c r="D13" s="2"/>
      <c r="E13" s="2"/>
      <c r="F13" s="2"/>
      <c r="G13" s="2"/>
      <c r="H13" s="2"/>
      <c r="I13" s="2"/>
      <c r="J13" s="2"/>
      <c r="K13" s="2"/>
      <c r="L13" s="2"/>
      <c r="M13" s="2"/>
      <c r="N13" s="2"/>
      <c r="O13" s="2" t="s">
        <v>88</v>
      </c>
      <c r="P13" s="2"/>
      <c r="Q13" s="2" t="s">
        <v>88</v>
      </c>
      <c r="R13" s="2" t="s">
        <v>89</v>
      </c>
      <c r="S13" s="2" t="s">
        <v>90</v>
      </c>
      <c r="T13" s="2" t="s">
        <v>91</v>
      </c>
      <c r="U13" s="13" t="s">
        <v>92</v>
      </c>
      <c r="V13" s="13" t="s">
        <v>93</v>
      </c>
      <c r="W13" s="13" t="s">
        <v>94</v>
      </c>
      <c r="X13" s="2" t="s">
        <v>95</v>
      </c>
      <c r="Y13" s="2" t="s">
        <v>96</v>
      </c>
      <c r="Z13" s="2" t="s">
        <v>88</v>
      </c>
      <c r="AA13" s="2" t="s">
        <v>97</v>
      </c>
      <c r="AB13" s="2"/>
    </row>
    <row r="14" spans="1:29" ht="409.5">
      <c r="B14" s="1" t="s">
        <v>98</v>
      </c>
      <c r="C14" s="38" t="s">
        <v>99</v>
      </c>
      <c r="D14" s="2" t="s">
        <v>100</v>
      </c>
      <c r="E14" s="2" t="s">
        <v>101</v>
      </c>
      <c r="F14" s="2" t="s">
        <v>102</v>
      </c>
      <c r="G14" s="2" t="s">
        <v>103</v>
      </c>
      <c r="H14" s="2" t="s">
        <v>104</v>
      </c>
      <c r="I14" s="2" t="s">
        <v>105</v>
      </c>
      <c r="J14" s="2" t="s">
        <v>106</v>
      </c>
      <c r="K14" s="2" t="s">
        <v>107</v>
      </c>
      <c r="L14" s="2" t="s">
        <v>108</v>
      </c>
      <c r="M14" s="2" t="s">
        <v>109</v>
      </c>
      <c r="N14" s="2" t="s">
        <v>110</v>
      </c>
      <c r="O14" s="2" t="s">
        <v>111</v>
      </c>
      <c r="P14" s="2" t="s">
        <v>112</v>
      </c>
      <c r="Q14" s="2" t="s">
        <v>113</v>
      </c>
      <c r="R14" s="2" t="s">
        <v>114</v>
      </c>
      <c r="S14" s="2" t="s">
        <v>115</v>
      </c>
      <c r="T14" s="2" t="s">
        <v>116</v>
      </c>
      <c r="U14" s="13" t="s">
        <v>117</v>
      </c>
      <c r="V14" s="13" t="s">
        <v>118</v>
      </c>
      <c r="W14" s="13" t="s">
        <v>119</v>
      </c>
      <c r="X14" s="2" t="s">
        <v>120</v>
      </c>
      <c r="Y14" s="2" t="s">
        <v>121</v>
      </c>
      <c r="Z14" s="2" t="s">
        <v>122</v>
      </c>
      <c r="AA14" s="2" t="s">
        <v>123</v>
      </c>
      <c r="AB14" s="2" t="s">
        <v>124</v>
      </c>
    </row>
    <row r="15" spans="1:29" ht="331.5" customHeight="1">
      <c r="A15" t="s">
        <v>125</v>
      </c>
      <c r="B15" s="1" t="s">
        <v>126</v>
      </c>
      <c r="C15" s="38" t="s">
        <v>127</v>
      </c>
      <c r="D15" s="2" t="s">
        <v>128</v>
      </c>
      <c r="E15" s="2" t="s">
        <v>129</v>
      </c>
      <c r="F15" s="2" t="s">
        <v>130</v>
      </c>
      <c r="G15" s="2" t="s">
        <v>131</v>
      </c>
      <c r="H15" s="2" t="s">
        <v>132</v>
      </c>
      <c r="I15" s="2" t="s">
        <v>127</v>
      </c>
      <c r="J15" s="2" t="s">
        <v>133</v>
      </c>
      <c r="K15" s="2" t="s">
        <v>134</v>
      </c>
      <c r="L15" s="2" t="s">
        <v>127</v>
      </c>
      <c r="M15" s="2" t="s">
        <v>135</v>
      </c>
      <c r="N15" s="2" t="s">
        <v>136</v>
      </c>
      <c r="O15" s="2" t="s">
        <v>137</v>
      </c>
      <c r="P15" s="2" t="s">
        <v>138</v>
      </c>
      <c r="Q15" s="2" t="s">
        <v>139</v>
      </c>
      <c r="R15" s="2" t="s">
        <v>140</v>
      </c>
      <c r="S15" s="2" t="s">
        <v>141</v>
      </c>
      <c r="T15" s="2" t="s">
        <v>141</v>
      </c>
      <c r="U15" s="13" t="s">
        <v>142</v>
      </c>
      <c r="V15" s="13" t="s">
        <v>143</v>
      </c>
      <c r="W15" s="13" t="s">
        <v>127</v>
      </c>
      <c r="X15" s="2" t="s">
        <v>144</v>
      </c>
      <c r="Y15" s="2" t="s">
        <v>145</v>
      </c>
      <c r="Z15" s="2" t="s">
        <v>145</v>
      </c>
      <c r="AA15" s="2" t="s">
        <v>146</v>
      </c>
      <c r="AB15" s="2" t="s">
        <v>147</v>
      </c>
    </row>
    <row r="16" spans="1:29" ht="375" customHeight="1">
      <c r="B16" s="1" t="s">
        <v>148</v>
      </c>
      <c r="C16" s="38" t="s">
        <v>149</v>
      </c>
      <c r="D16" s="2" t="s">
        <v>150</v>
      </c>
      <c r="E16" s="2" t="s">
        <v>151</v>
      </c>
      <c r="F16" s="2" t="s">
        <v>149</v>
      </c>
      <c r="G16" s="2" t="s">
        <v>152</v>
      </c>
      <c r="H16" s="2" t="s">
        <v>153</v>
      </c>
      <c r="I16" s="2" t="s">
        <v>149</v>
      </c>
      <c r="J16" s="2" t="s">
        <v>154</v>
      </c>
      <c r="K16" s="2" t="s">
        <v>155</v>
      </c>
      <c r="L16" s="2" t="s">
        <v>156</v>
      </c>
      <c r="M16" s="2" t="s">
        <v>150</v>
      </c>
      <c r="N16" s="2" t="s">
        <v>157</v>
      </c>
      <c r="O16" s="2" t="s">
        <v>155</v>
      </c>
      <c r="P16" s="2" t="s">
        <v>150</v>
      </c>
      <c r="Q16" s="2" t="s">
        <v>150</v>
      </c>
      <c r="R16" s="2" t="s">
        <v>150</v>
      </c>
      <c r="S16" s="2" t="s">
        <v>158</v>
      </c>
      <c r="T16" s="2" t="s">
        <v>158</v>
      </c>
      <c r="U16" s="13" t="s">
        <v>158</v>
      </c>
      <c r="V16" s="13" t="s">
        <v>158</v>
      </c>
      <c r="W16" s="13" t="s">
        <v>149</v>
      </c>
      <c r="X16" s="2" t="s">
        <v>155</v>
      </c>
      <c r="Y16" s="2" t="s">
        <v>159</v>
      </c>
      <c r="Z16" s="2" t="s">
        <v>159</v>
      </c>
      <c r="AA16" s="2" t="s">
        <v>155</v>
      </c>
      <c r="AB16" s="2" t="s">
        <v>160</v>
      </c>
    </row>
    <row r="17" spans="1:28">
      <c r="B17" s="1" t="s">
        <v>161</v>
      </c>
      <c r="C17" s="38" t="s">
        <v>162</v>
      </c>
      <c r="D17" s="2" t="s">
        <v>162</v>
      </c>
      <c r="E17" s="2" t="s">
        <v>163</v>
      </c>
      <c r="F17" s="2" t="s">
        <v>162</v>
      </c>
      <c r="G17" s="51" t="s">
        <v>162</v>
      </c>
      <c r="H17" s="2" t="s">
        <v>162</v>
      </c>
      <c r="I17" s="2" t="s">
        <v>162</v>
      </c>
      <c r="J17" s="2" t="s">
        <v>162</v>
      </c>
      <c r="K17" s="2" t="s">
        <v>162</v>
      </c>
      <c r="L17" s="52" t="s">
        <v>162</v>
      </c>
      <c r="M17" s="2" t="s">
        <v>162</v>
      </c>
      <c r="N17" s="2" t="s">
        <v>164</v>
      </c>
      <c r="O17" s="2" t="s">
        <v>162</v>
      </c>
      <c r="P17" s="2" t="s">
        <v>162</v>
      </c>
      <c r="Q17" s="2" t="s">
        <v>165</v>
      </c>
      <c r="R17" s="2" t="s">
        <v>162</v>
      </c>
      <c r="S17" s="2" t="s">
        <v>162</v>
      </c>
      <c r="T17" s="2" t="s">
        <v>162</v>
      </c>
      <c r="U17" s="18" t="s">
        <v>162</v>
      </c>
      <c r="V17" s="18" t="s">
        <v>162</v>
      </c>
      <c r="W17" s="18" t="s">
        <v>162</v>
      </c>
      <c r="X17" s="2" t="s">
        <v>165</v>
      </c>
      <c r="Y17" s="2" t="s">
        <v>162</v>
      </c>
      <c r="Z17" s="2" t="s">
        <v>162</v>
      </c>
      <c r="AA17" s="2" t="s">
        <v>162</v>
      </c>
      <c r="AB17" s="2" t="s">
        <v>165</v>
      </c>
    </row>
    <row r="18" spans="1:28">
      <c r="B18" s="1" t="s">
        <v>166</v>
      </c>
      <c r="C18" s="38">
        <v>0.36</v>
      </c>
      <c r="D18" s="2" t="s">
        <v>167</v>
      </c>
      <c r="E18" s="2" t="s">
        <v>168</v>
      </c>
      <c r="F18" s="2">
        <v>0.36</v>
      </c>
      <c r="G18" s="2">
        <v>0</v>
      </c>
      <c r="H18" s="2">
        <v>0.36</v>
      </c>
      <c r="I18" s="2">
        <v>0.36</v>
      </c>
      <c r="J18" s="2">
        <v>0.25</v>
      </c>
      <c r="K18" s="2" t="s">
        <v>168</v>
      </c>
      <c r="L18" s="2">
        <v>0.25</v>
      </c>
      <c r="M18" s="2">
        <v>0.48</v>
      </c>
      <c r="N18" s="2">
        <v>0.36</v>
      </c>
      <c r="O18" s="2" t="s">
        <v>169</v>
      </c>
      <c r="P18" s="2">
        <v>0.48</v>
      </c>
      <c r="Q18" s="2">
        <v>0.36</v>
      </c>
      <c r="R18" s="2">
        <v>0.36</v>
      </c>
      <c r="S18" s="2">
        <v>0.36</v>
      </c>
      <c r="T18" s="2">
        <v>0.36</v>
      </c>
      <c r="U18" s="13"/>
      <c r="V18" s="13"/>
      <c r="W18" s="13"/>
      <c r="X18" s="2">
        <v>0.36</v>
      </c>
      <c r="Y18" s="2">
        <v>0.36</v>
      </c>
      <c r="Z18" s="2">
        <v>0.36</v>
      </c>
      <c r="AA18" s="2">
        <v>0.25</v>
      </c>
      <c r="AB18" s="2">
        <v>0.36</v>
      </c>
    </row>
    <row r="19" spans="1:28" ht="29.25">
      <c r="B19" s="1" t="s">
        <v>170</v>
      </c>
      <c r="C19" s="38" t="s">
        <v>171</v>
      </c>
      <c r="D19" s="2" t="s">
        <v>172</v>
      </c>
      <c r="E19" s="2">
        <v>0.25</v>
      </c>
      <c r="F19" s="2" t="s">
        <v>173</v>
      </c>
      <c r="G19" s="2" t="s">
        <v>174</v>
      </c>
      <c r="H19" s="2" t="s">
        <v>175</v>
      </c>
      <c r="I19" s="2" t="s">
        <v>176</v>
      </c>
      <c r="J19" s="2" t="s">
        <v>175</v>
      </c>
      <c r="K19" s="2" t="s">
        <v>177</v>
      </c>
      <c r="L19" s="2" t="s">
        <v>178</v>
      </c>
      <c r="M19" s="2" t="s">
        <v>179</v>
      </c>
      <c r="N19" s="2" t="s">
        <v>180</v>
      </c>
      <c r="O19" s="2" t="s">
        <v>181</v>
      </c>
      <c r="P19" s="2" t="s">
        <v>182</v>
      </c>
      <c r="Q19" s="2" t="s">
        <v>183</v>
      </c>
      <c r="R19" s="2" t="s">
        <v>184</v>
      </c>
      <c r="S19" s="2" t="s">
        <v>176</v>
      </c>
      <c r="T19" s="2" t="s">
        <v>184</v>
      </c>
      <c r="U19" s="13" t="s">
        <v>184</v>
      </c>
      <c r="V19" s="13" t="s">
        <v>184</v>
      </c>
      <c r="W19" s="13" t="s">
        <v>184</v>
      </c>
      <c r="X19" s="2" t="s">
        <v>184</v>
      </c>
      <c r="Y19" s="2" t="s">
        <v>184</v>
      </c>
      <c r="Z19" s="2" t="s">
        <v>185</v>
      </c>
      <c r="AA19" s="2" t="s">
        <v>186</v>
      </c>
      <c r="AB19" s="2" t="s">
        <v>187</v>
      </c>
    </row>
    <row r="20" spans="1:28">
      <c r="B20" s="1" t="s">
        <v>188</v>
      </c>
      <c r="C20" s="2" t="s">
        <v>162</v>
      </c>
      <c r="D20" s="2" t="s">
        <v>162</v>
      </c>
      <c r="E20" s="2" t="s">
        <v>162</v>
      </c>
      <c r="F20" s="2" t="s">
        <v>162</v>
      </c>
      <c r="G20" s="2" t="s">
        <v>162</v>
      </c>
      <c r="H20" s="2" t="s">
        <v>162</v>
      </c>
      <c r="I20" s="2" t="s">
        <v>162</v>
      </c>
      <c r="J20" s="2" t="s">
        <v>189</v>
      </c>
      <c r="K20" s="2" t="s">
        <v>162</v>
      </c>
      <c r="L20" s="2" t="s">
        <v>189</v>
      </c>
      <c r="M20" s="2" t="s">
        <v>162</v>
      </c>
      <c r="N20" s="2" t="s">
        <v>162</v>
      </c>
      <c r="O20" s="2" t="s">
        <v>162</v>
      </c>
      <c r="P20" s="2" t="s">
        <v>162</v>
      </c>
      <c r="Q20" s="2" t="s">
        <v>162</v>
      </c>
      <c r="R20" s="2" t="s">
        <v>162</v>
      </c>
      <c r="S20" s="2" t="s">
        <v>162</v>
      </c>
      <c r="T20" s="2" t="s">
        <v>162</v>
      </c>
      <c r="U20" s="13"/>
      <c r="V20" s="13"/>
      <c r="W20" s="13"/>
      <c r="X20" s="2" t="s">
        <v>162</v>
      </c>
      <c r="Y20" s="2" t="s">
        <v>162</v>
      </c>
      <c r="Z20" s="2" t="s">
        <v>162</v>
      </c>
      <c r="AA20" s="2" t="s">
        <v>162</v>
      </c>
      <c r="AB20" s="2" t="s">
        <v>162</v>
      </c>
    </row>
    <row r="21" spans="1:28" ht="6.75" customHeight="1">
      <c r="B21" s="1"/>
      <c r="C21" s="38"/>
      <c r="D21" s="2"/>
      <c r="E21" s="2"/>
      <c r="F21" s="2"/>
      <c r="G21" s="2"/>
      <c r="H21" s="2"/>
      <c r="I21" s="2"/>
      <c r="J21" s="2"/>
      <c r="K21" s="2"/>
      <c r="L21" s="2"/>
      <c r="M21" s="2"/>
      <c r="N21" s="2"/>
      <c r="O21" s="2"/>
      <c r="P21" s="2"/>
      <c r="Q21" s="2"/>
      <c r="R21" s="2"/>
      <c r="S21" s="2"/>
      <c r="T21" s="2"/>
      <c r="U21" s="13"/>
      <c r="V21" s="13"/>
      <c r="W21" s="13"/>
      <c r="X21" s="2"/>
      <c r="Y21" s="2"/>
      <c r="Z21" s="2"/>
      <c r="AA21" s="2"/>
      <c r="AB21" s="2"/>
    </row>
    <row r="22" spans="1:28" ht="30" customHeight="1">
      <c r="A22" t="s">
        <v>190</v>
      </c>
      <c r="B22" s="1" t="s">
        <v>191</v>
      </c>
      <c r="C22" s="38" t="s">
        <v>162</v>
      </c>
      <c r="D22" s="2" t="s">
        <v>162</v>
      </c>
      <c r="E22" s="2" t="s">
        <v>162</v>
      </c>
      <c r="F22" s="2" t="s">
        <v>162</v>
      </c>
      <c r="G22" s="2" t="s">
        <v>162</v>
      </c>
      <c r="H22" s="2" t="s">
        <v>192</v>
      </c>
      <c r="I22" s="2" t="s">
        <v>162</v>
      </c>
      <c r="J22" s="2" t="s">
        <v>162</v>
      </c>
      <c r="K22" s="2" t="s">
        <v>162</v>
      </c>
      <c r="L22" s="2" t="s">
        <v>162</v>
      </c>
      <c r="M22" s="2" t="s">
        <v>162</v>
      </c>
      <c r="N22" s="2" t="s">
        <v>162</v>
      </c>
      <c r="O22" s="2" t="s">
        <v>162</v>
      </c>
      <c r="P22" s="2" t="s">
        <v>162</v>
      </c>
      <c r="Q22" s="2" t="s">
        <v>162</v>
      </c>
      <c r="R22" s="2" t="s">
        <v>162</v>
      </c>
      <c r="S22" s="2" t="s">
        <v>162</v>
      </c>
      <c r="T22" s="2" t="s">
        <v>162</v>
      </c>
      <c r="U22" s="13" t="s">
        <v>193</v>
      </c>
      <c r="V22" s="13" t="s">
        <v>189</v>
      </c>
      <c r="W22" s="13" t="s">
        <v>189</v>
      </c>
      <c r="X22" s="2" t="s">
        <v>162</v>
      </c>
      <c r="Y22" s="2" t="s">
        <v>162</v>
      </c>
      <c r="Z22" s="2" t="s">
        <v>162</v>
      </c>
      <c r="AA22" s="2" t="s">
        <v>162</v>
      </c>
      <c r="AB22" s="2" t="s">
        <v>162</v>
      </c>
    </row>
    <row r="23" spans="1:28" ht="30" customHeight="1">
      <c r="B23" s="1" t="s">
        <v>194</v>
      </c>
      <c r="C23" s="41" t="s">
        <v>195</v>
      </c>
      <c r="D23" s="7" t="s">
        <v>196</v>
      </c>
      <c r="E23" s="7" t="s">
        <v>197</v>
      </c>
      <c r="F23" s="7" t="s">
        <v>198</v>
      </c>
      <c r="G23" s="7" t="s">
        <v>199</v>
      </c>
      <c r="H23" s="7" t="s">
        <v>197</v>
      </c>
      <c r="I23" s="7" t="s">
        <v>200</v>
      </c>
      <c r="J23" s="7" t="s">
        <v>197</v>
      </c>
      <c r="K23" s="7" t="s">
        <v>22</v>
      </c>
      <c r="L23" s="7" t="s">
        <v>201</v>
      </c>
      <c r="M23" s="10" t="s">
        <v>201</v>
      </c>
      <c r="N23" s="10" t="s">
        <v>202</v>
      </c>
      <c r="O23" s="10" t="s">
        <v>203</v>
      </c>
      <c r="P23" s="10" t="s">
        <v>204</v>
      </c>
      <c r="Q23" s="10" t="s">
        <v>200</v>
      </c>
      <c r="R23" s="10" t="s">
        <v>200</v>
      </c>
      <c r="S23" s="10" t="s">
        <v>205</v>
      </c>
      <c r="T23" s="2" t="s">
        <v>206</v>
      </c>
      <c r="U23" s="16"/>
      <c r="V23" s="16"/>
      <c r="W23" s="16"/>
      <c r="X23" s="10" t="s">
        <v>205</v>
      </c>
      <c r="Y23" s="10" t="s">
        <v>207</v>
      </c>
      <c r="Z23" s="10" t="s">
        <v>196</v>
      </c>
      <c r="AA23" s="2" t="s">
        <v>208</v>
      </c>
      <c r="AB23" s="10" t="s">
        <v>209</v>
      </c>
    </row>
    <row r="24" spans="1:28" ht="30" customHeight="1">
      <c r="B24" s="1" t="s">
        <v>210</v>
      </c>
      <c r="C24" s="38" t="s">
        <v>211</v>
      </c>
      <c r="D24" s="7" t="s">
        <v>212</v>
      </c>
      <c r="E24" s="7" t="s">
        <v>213</v>
      </c>
      <c r="F24" s="7" t="s">
        <v>214</v>
      </c>
      <c r="G24" s="2" t="s">
        <v>212</v>
      </c>
      <c r="H24" s="7" t="s">
        <v>215</v>
      </c>
      <c r="I24" s="7" t="s">
        <v>216</v>
      </c>
      <c r="J24" s="7" t="s">
        <v>217</v>
      </c>
      <c r="K24" s="7" t="s">
        <v>218</v>
      </c>
      <c r="L24" s="7" t="s">
        <v>219</v>
      </c>
      <c r="M24" s="10" t="s">
        <v>220</v>
      </c>
      <c r="N24" s="2" t="s">
        <v>221</v>
      </c>
      <c r="O24" s="2" t="s">
        <v>222</v>
      </c>
      <c r="P24" s="2" t="s">
        <v>223</v>
      </c>
      <c r="Q24" s="10" t="s">
        <v>224</v>
      </c>
      <c r="R24" s="10" t="s">
        <v>225</v>
      </c>
      <c r="S24" s="2" t="s">
        <v>226</v>
      </c>
      <c r="T24" s="2" t="s">
        <v>226</v>
      </c>
      <c r="U24" s="16"/>
      <c r="V24" s="16"/>
      <c r="W24" s="16"/>
      <c r="X24" s="2" t="s">
        <v>227</v>
      </c>
      <c r="Y24" s="10" t="s">
        <v>228</v>
      </c>
      <c r="Z24" s="10" t="s">
        <v>229</v>
      </c>
      <c r="AA24" s="2" t="s">
        <v>230</v>
      </c>
      <c r="AB24" s="2" t="s">
        <v>231</v>
      </c>
    </row>
    <row r="25" spans="1:28" ht="30" customHeight="1">
      <c r="B25" s="1" t="s">
        <v>232</v>
      </c>
      <c r="C25" s="38" t="s">
        <v>233</v>
      </c>
      <c r="D25" s="7" t="s">
        <v>234</v>
      </c>
      <c r="E25" s="7" t="s">
        <v>235</v>
      </c>
      <c r="F25" s="7" t="s">
        <v>236</v>
      </c>
      <c r="G25" s="2" t="s">
        <v>237</v>
      </c>
      <c r="H25" s="7" t="s">
        <v>238</v>
      </c>
      <c r="I25" s="7" t="s">
        <v>239</v>
      </c>
      <c r="J25" s="7" t="s">
        <v>240</v>
      </c>
      <c r="K25" s="7" t="s">
        <v>241</v>
      </c>
      <c r="L25" s="7" t="s">
        <v>242</v>
      </c>
      <c r="M25" s="10" t="s">
        <v>243</v>
      </c>
      <c r="N25" s="2" t="s">
        <v>244</v>
      </c>
      <c r="O25" s="2" t="s">
        <v>245</v>
      </c>
      <c r="P25" s="2" t="s">
        <v>246</v>
      </c>
      <c r="Q25" s="10" t="s">
        <v>247</v>
      </c>
      <c r="R25" s="10" t="s">
        <v>248</v>
      </c>
      <c r="S25" s="2" t="s">
        <v>249</v>
      </c>
      <c r="T25" s="2" t="s">
        <v>250</v>
      </c>
      <c r="U25" s="16"/>
      <c r="V25" s="16"/>
      <c r="W25" s="16"/>
      <c r="X25" s="2" t="s">
        <v>249</v>
      </c>
      <c r="Y25" s="10" t="s">
        <v>251</v>
      </c>
      <c r="Z25" s="10" t="s">
        <v>252</v>
      </c>
      <c r="AA25" s="2" t="s">
        <v>253</v>
      </c>
      <c r="AB25" s="2" t="s">
        <v>254</v>
      </c>
    </row>
    <row r="26" spans="1:28" ht="30" customHeight="1">
      <c r="B26" s="1" t="s">
        <v>255</v>
      </c>
      <c r="C26" s="38" t="s">
        <v>256</v>
      </c>
      <c r="D26" s="7" t="s">
        <v>256</v>
      </c>
      <c r="E26" s="7" t="s">
        <v>257</v>
      </c>
      <c r="F26" s="7" t="s">
        <v>257</v>
      </c>
      <c r="G26" s="2" t="s">
        <v>258</v>
      </c>
      <c r="H26" s="7" t="s">
        <v>256</v>
      </c>
      <c r="I26" s="7" t="s">
        <v>256</v>
      </c>
      <c r="J26" s="7" t="s">
        <v>256</v>
      </c>
      <c r="K26" s="7" t="s">
        <v>256</v>
      </c>
      <c r="L26" s="7" t="s">
        <v>256</v>
      </c>
      <c r="M26" s="10" t="s">
        <v>256</v>
      </c>
      <c r="N26" s="2" t="s">
        <v>256</v>
      </c>
      <c r="O26" s="2" t="s">
        <v>256</v>
      </c>
      <c r="P26" s="2" t="s">
        <v>256</v>
      </c>
      <c r="Q26" s="10" t="s">
        <v>256</v>
      </c>
      <c r="R26" s="10" t="s">
        <v>256</v>
      </c>
      <c r="S26" s="2" t="s">
        <v>259</v>
      </c>
      <c r="T26" s="2" t="s">
        <v>256</v>
      </c>
      <c r="U26" s="16"/>
      <c r="V26" s="16"/>
      <c r="W26" s="16"/>
      <c r="X26" s="2" t="s">
        <v>259</v>
      </c>
      <c r="Y26" s="10" t="s">
        <v>256</v>
      </c>
      <c r="Z26" s="10" t="s">
        <v>256</v>
      </c>
      <c r="AA26" s="2" t="s">
        <v>256</v>
      </c>
      <c r="AB26" s="2" t="s">
        <v>256</v>
      </c>
    </row>
    <row r="27" spans="1:28" ht="30" customHeight="1">
      <c r="B27" s="1" t="s">
        <v>260</v>
      </c>
      <c r="C27" s="42">
        <v>460000</v>
      </c>
      <c r="D27" s="8">
        <v>470000</v>
      </c>
      <c r="E27" s="31">
        <v>630000</v>
      </c>
      <c r="F27" s="8">
        <v>470000</v>
      </c>
      <c r="G27" s="31">
        <v>610000</v>
      </c>
      <c r="H27" s="8">
        <v>460000</v>
      </c>
      <c r="I27" s="31">
        <v>320000</v>
      </c>
      <c r="J27" s="8">
        <v>460000</v>
      </c>
      <c r="K27" s="8">
        <v>320000</v>
      </c>
      <c r="L27" s="31">
        <v>320000</v>
      </c>
      <c r="M27" s="11">
        <v>610000</v>
      </c>
      <c r="N27" s="11">
        <v>540000</v>
      </c>
      <c r="O27" s="11">
        <v>420000</v>
      </c>
      <c r="P27" s="34">
        <v>420000</v>
      </c>
      <c r="Q27" s="34">
        <v>320000</v>
      </c>
      <c r="R27" s="11">
        <v>460000</v>
      </c>
      <c r="S27" s="11">
        <v>460000</v>
      </c>
      <c r="T27" s="34">
        <v>460000</v>
      </c>
      <c r="U27" s="17"/>
      <c r="V27" s="17"/>
      <c r="W27" s="17"/>
      <c r="X27" s="34">
        <v>460000</v>
      </c>
      <c r="Y27" s="11">
        <v>330000</v>
      </c>
      <c r="Z27" s="34">
        <v>460000</v>
      </c>
      <c r="AA27" s="11">
        <v>610000</v>
      </c>
      <c r="AB27" s="11">
        <v>340000</v>
      </c>
    </row>
    <row r="28" spans="1:28" ht="30" customHeight="1">
      <c r="B28" s="1" t="s">
        <v>261</v>
      </c>
      <c r="C28" s="42">
        <v>0</v>
      </c>
      <c r="D28" s="8">
        <v>2080000</v>
      </c>
      <c r="E28" s="31"/>
      <c r="F28" s="8"/>
      <c r="G28" s="31">
        <v>1390000</v>
      </c>
      <c r="H28" s="8"/>
      <c r="I28" s="31"/>
      <c r="J28" s="8"/>
      <c r="K28" s="8">
        <v>2080000</v>
      </c>
      <c r="L28" s="31"/>
      <c r="M28" s="11"/>
      <c r="N28" s="11">
        <v>0</v>
      </c>
      <c r="O28" s="11"/>
      <c r="P28" s="34"/>
      <c r="Q28" s="34"/>
      <c r="R28" s="11"/>
      <c r="S28" s="11">
        <v>0</v>
      </c>
      <c r="T28" s="34"/>
      <c r="U28" s="17"/>
      <c r="V28" s="17"/>
      <c r="W28" s="17"/>
      <c r="X28" s="34">
        <v>0</v>
      </c>
      <c r="Y28" s="11"/>
      <c r="Z28" s="34"/>
      <c r="AA28" s="11">
        <v>2080000</v>
      </c>
      <c r="AB28" s="11"/>
    </row>
    <row r="29" spans="1:28" ht="30" customHeight="1">
      <c r="B29" s="1" t="s">
        <v>262</v>
      </c>
      <c r="C29" s="42">
        <v>0</v>
      </c>
      <c r="D29" s="8"/>
      <c r="E29" s="31"/>
      <c r="F29" s="8"/>
      <c r="G29" s="31"/>
      <c r="H29" s="8"/>
      <c r="I29" s="31"/>
      <c r="J29" s="8"/>
      <c r="K29" s="8"/>
      <c r="L29" s="31"/>
      <c r="M29" s="11">
        <v>530000</v>
      </c>
      <c r="N29" s="11">
        <v>0</v>
      </c>
      <c r="O29" s="11"/>
      <c r="P29" s="34"/>
      <c r="Q29" s="34"/>
      <c r="R29" s="11"/>
      <c r="S29" s="11">
        <v>0</v>
      </c>
      <c r="T29" s="34"/>
      <c r="U29" s="17"/>
      <c r="V29" s="17"/>
      <c r="W29" s="17"/>
      <c r="X29" s="34">
        <v>0</v>
      </c>
      <c r="Y29" s="11"/>
      <c r="Z29" s="34"/>
      <c r="AA29" s="11"/>
      <c r="AB29" s="11">
        <v>530000</v>
      </c>
    </row>
    <row r="30" spans="1:28" ht="30" customHeight="1">
      <c r="B30" s="1" t="s">
        <v>263</v>
      </c>
      <c r="C30" s="42">
        <v>0</v>
      </c>
      <c r="D30" s="8"/>
      <c r="E30" s="31">
        <v>2590000</v>
      </c>
      <c r="F30" s="8">
        <v>2590000</v>
      </c>
      <c r="G30" s="31"/>
      <c r="H30" s="8"/>
      <c r="I30" s="31"/>
      <c r="J30" s="8"/>
      <c r="K30" s="8"/>
      <c r="L30" s="31"/>
      <c r="M30" s="11">
        <v>2530000</v>
      </c>
      <c r="N30" s="11">
        <v>2690000</v>
      </c>
      <c r="O30" s="11">
        <v>2530000</v>
      </c>
      <c r="P30" s="34">
        <v>2800000</v>
      </c>
      <c r="Q30" s="34">
        <v>2080000</v>
      </c>
      <c r="R30" s="11"/>
      <c r="S30" s="11">
        <v>0</v>
      </c>
      <c r="T30" s="34"/>
      <c r="U30" s="17"/>
      <c r="V30" s="17"/>
      <c r="W30" s="17"/>
      <c r="X30" s="34">
        <v>0</v>
      </c>
      <c r="Y30" s="11"/>
      <c r="Z30" s="34"/>
      <c r="AA30" s="11"/>
      <c r="AB30" s="11">
        <v>2350000</v>
      </c>
    </row>
    <row r="31" spans="1:28" ht="30" customHeight="1">
      <c r="B31" s="1" t="s">
        <v>264</v>
      </c>
      <c r="C31" s="42">
        <f>SUM(C27:C30)</f>
        <v>460000</v>
      </c>
      <c r="D31" s="8">
        <f t="shared" ref="D31:AB31" si="1">SUM(D27:D30)</f>
        <v>2550000</v>
      </c>
      <c r="E31" s="31">
        <f t="shared" si="1"/>
        <v>3220000</v>
      </c>
      <c r="F31" s="8">
        <f t="shared" si="1"/>
        <v>3060000</v>
      </c>
      <c r="G31" s="31">
        <f t="shared" si="1"/>
        <v>2000000</v>
      </c>
      <c r="H31" s="8">
        <f t="shared" si="1"/>
        <v>460000</v>
      </c>
      <c r="I31" s="31">
        <f t="shared" si="1"/>
        <v>320000</v>
      </c>
      <c r="J31" s="8">
        <f t="shared" si="1"/>
        <v>460000</v>
      </c>
      <c r="K31" s="8">
        <f t="shared" si="1"/>
        <v>2400000</v>
      </c>
      <c r="L31" s="31">
        <f t="shared" si="1"/>
        <v>320000</v>
      </c>
      <c r="M31" s="11">
        <f t="shared" si="1"/>
        <v>3670000</v>
      </c>
      <c r="N31" s="11">
        <f t="shared" si="1"/>
        <v>3230000</v>
      </c>
      <c r="O31" s="11">
        <f t="shared" si="1"/>
        <v>2950000</v>
      </c>
      <c r="P31" s="34">
        <f t="shared" si="1"/>
        <v>3220000</v>
      </c>
      <c r="Q31" s="34">
        <f t="shared" si="1"/>
        <v>2400000</v>
      </c>
      <c r="R31" s="11">
        <f t="shared" si="1"/>
        <v>460000</v>
      </c>
      <c r="S31" s="11">
        <f t="shared" si="1"/>
        <v>460000</v>
      </c>
      <c r="T31" s="34">
        <f t="shared" si="1"/>
        <v>460000</v>
      </c>
      <c r="U31" s="17">
        <f t="shared" si="1"/>
        <v>0</v>
      </c>
      <c r="V31" s="17">
        <f t="shared" si="1"/>
        <v>0</v>
      </c>
      <c r="W31" s="17">
        <f t="shared" si="1"/>
        <v>0</v>
      </c>
      <c r="X31" s="34">
        <f t="shared" si="1"/>
        <v>460000</v>
      </c>
      <c r="Y31" s="11">
        <f t="shared" si="1"/>
        <v>330000</v>
      </c>
      <c r="Z31" s="34">
        <f t="shared" si="1"/>
        <v>460000</v>
      </c>
      <c r="AA31" s="11">
        <f t="shared" si="1"/>
        <v>2690000</v>
      </c>
      <c r="AB31" s="11">
        <f t="shared" si="1"/>
        <v>3220000</v>
      </c>
    </row>
    <row r="32" spans="1:28" ht="30" customHeight="1">
      <c r="B32" s="1" t="s">
        <v>265</v>
      </c>
      <c r="C32" s="41">
        <v>18</v>
      </c>
      <c r="D32" s="7">
        <v>26</v>
      </c>
      <c r="E32" s="7">
        <v>30</v>
      </c>
      <c r="F32" s="7">
        <v>30</v>
      </c>
      <c r="G32" s="7">
        <v>26</v>
      </c>
      <c r="H32" s="7">
        <v>18</v>
      </c>
      <c r="I32" s="7">
        <v>18</v>
      </c>
      <c r="J32" s="7">
        <v>18</v>
      </c>
      <c r="K32" s="7">
        <v>26</v>
      </c>
      <c r="L32" s="7">
        <v>18</v>
      </c>
      <c r="M32" s="10">
        <v>30</v>
      </c>
      <c r="N32" s="10">
        <v>30</v>
      </c>
      <c r="O32" s="10">
        <v>30</v>
      </c>
      <c r="P32" s="10">
        <v>30</v>
      </c>
      <c r="Q32" s="10">
        <v>26</v>
      </c>
      <c r="R32" s="10">
        <v>18</v>
      </c>
      <c r="S32" s="10">
        <v>18</v>
      </c>
      <c r="T32" s="10">
        <v>18</v>
      </c>
      <c r="U32" s="16"/>
      <c r="V32" s="16"/>
      <c r="W32" s="16"/>
      <c r="X32" s="10">
        <v>18</v>
      </c>
      <c r="Y32" s="10">
        <v>12</v>
      </c>
      <c r="Z32" s="10">
        <v>18</v>
      </c>
      <c r="AA32" s="10">
        <v>26</v>
      </c>
      <c r="AB32" s="10">
        <v>30</v>
      </c>
    </row>
    <row r="33" spans="1:28" ht="30" customHeight="1">
      <c r="B33" s="1" t="s">
        <v>266</v>
      </c>
      <c r="C33" s="43">
        <v>47058</v>
      </c>
      <c r="D33" s="9">
        <v>46935</v>
      </c>
      <c r="E33" s="9">
        <v>47423</v>
      </c>
      <c r="F33" s="9">
        <v>47423</v>
      </c>
      <c r="G33" s="9">
        <v>47300</v>
      </c>
      <c r="H33" s="9">
        <v>47058</v>
      </c>
      <c r="I33" s="9">
        <v>47058</v>
      </c>
      <c r="J33" s="9">
        <v>47058</v>
      </c>
      <c r="K33" s="9">
        <v>47300</v>
      </c>
      <c r="L33" s="9">
        <v>47058</v>
      </c>
      <c r="M33" s="12">
        <v>47423</v>
      </c>
      <c r="N33" s="12">
        <v>47423</v>
      </c>
      <c r="O33" s="12">
        <v>47423</v>
      </c>
      <c r="P33" s="12">
        <v>47423</v>
      </c>
      <c r="Q33" s="9">
        <v>47300</v>
      </c>
      <c r="R33" s="12">
        <v>47058</v>
      </c>
      <c r="S33" s="12">
        <v>47058</v>
      </c>
      <c r="T33" s="12">
        <v>47058</v>
      </c>
      <c r="U33" s="16"/>
      <c r="V33" s="16"/>
      <c r="W33" s="16"/>
      <c r="X33" s="12">
        <v>47058</v>
      </c>
      <c r="Y33" s="12">
        <v>46905</v>
      </c>
      <c r="Z33" s="12">
        <v>47058</v>
      </c>
      <c r="AA33" s="12">
        <v>47300</v>
      </c>
      <c r="AB33" s="12">
        <v>47423</v>
      </c>
    </row>
    <row r="34" spans="1:28" ht="30" customHeight="1">
      <c r="B34" s="1" t="s">
        <v>267</v>
      </c>
      <c r="C34" s="43">
        <v>47088</v>
      </c>
      <c r="D34" s="9">
        <v>46966</v>
      </c>
      <c r="E34" s="9">
        <v>47453</v>
      </c>
      <c r="F34" s="9">
        <v>47453</v>
      </c>
      <c r="G34" s="9">
        <v>47331</v>
      </c>
      <c r="H34" s="9">
        <v>47088</v>
      </c>
      <c r="I34" s="9">
        <v>47088</v>
      </c>
      <c r="J34" s="9">
        <v>47088</v>
      </c>
      <c r="K34" s="9">
        <v>47331</v>
      </c>
      <c r="L34" s="9">
        <v>47088</v>
      </c>
      <c r="M34" s="12">
        <v>47453</v>
      </c>
      <c r="N34" s="12">
        <v>47453</v>
      </c>
      <c r="O34" s="12">
        <v>47453</v>
      </c>
      <c r="P34" s="12">
        <v>47453</v>
      </c>
      <c r="Q34" s="12">
        <v>46966</v>
      </c>
      <c r="R34" s="12">
        <v>47088</v>
      </c>
      <c r="S34" s="12">
        <v>47088</v>
      </c>
      <c r="T34" s="12">
        <v>47088</v>
      </c>
      <c r="U34" s="16"/>
      <c r="V34" s="16"/>
      <c r="W34" s="16"/>
      <c r="X34" s="12">
        <v>47088</v>
      </c>
      <c r="Y34" s="12">
        <v>46935</v>
      </c>
      <c r="Z34" s="12">
        <v>47088</v>
      </c>
      <c r="AA34" s="12">
        <v>47331</v>
      </c>
      <c r="AB34" s="12">
        <v>47453</v>
      </c>
    </row>
    <row r="35" spans="1:28" ht="30">
      <c r="A35" s="22" t="s">
        <v>268</v>
      </c>
      <c r="B35" s="1" t="s">
        <v>269</v>
      </c>
      <c r="C35" s="41" t="s">
        <v>270</v>
      </c>
      <c r="D35" s="7" t="s">
        <v>271</v>
      </c>
      <c r="E35" s="7" t="s">
        <v>271</v>
      </c>
      <c r="F35" s="7" t="s">
        <v>272</v>
      </c>
      <c r="G35" s="7"/>
      <c r="H35" s="7" t="s">
        <v>271</v>
      </c>
      <c r="I35" s="7" t="s">
        <v>271</v>
      </c>
      <c r="J35" s="7" t="s">
        <v>271</v>
      </c>
      <c r="K35" s="7" t="s">
        <v>271</v>
      </c>
      <c r="L35" s="7" t="s">
        <v>271</v>
      </c>
      <c r="M35" s="7" t="s">
        <v>273</v>
      </c>
      <c r="N35" s="7" t="s">
        <v>271</v>
      </c>
      <c r="O35" s="7" t="s">
        <v>270</v>
      </c>
      <c r="P35" s="7" t="s">
        <v>272</v>
      </c>
      <c r="Q35" s="7" t="s">
        <v>271</v>
      </c>
      <c r="R35" s="7" t="s">
        <v>271</v>
      </c>
      <c r="S35" s="7" t="s">
        <v>271</v>
      </c>
      <c r="T35" s="7" t="s">
        <v>271</v>
      </c>
      <c r="U35" s="19"/>
      <c r="V35" s="19"/>
      <c r="W35" s="19"/>
      <c r="X35" s="7" t="s">
        <v>271</v>
      </c>
      <c r="Y35" s="7" t="s">
        <v>271</v>
      </c>
      <c r="Z35" s="7" t="s">
        <v>271</v>
      </c>
      <c r="AA35" s="7" t="s">
        <v>272</v>
      </c>
      <c r="AB35" s="7" t="s">
        <v>271</v>
      </c>
    </row>
    <row r="36" spans="1:28" ht="30">
      <c r="A36" s="22"/>
      <c r="B36" s="1" t="s">
        <v>274</v>
      </c>
      <c r="C36" s="41"/>
      <c r="D36" s="7"/>
      <c r="E36" s="7"/>
      <c r="F36" s="7"/>
      <c r="G36" s="7"/>
      <c r="H36" s="7"/>
      <c r="I36" s="7"/>
      <c r="J36" s="7"/>
      <c r="K36" s="7"/>
      <c r="L36" s="7"/>
      <c r="M36" s="7"/>
      <c r="N36" s="7"/>
      <c r="O36" s="7"/>
      <c r="P36" s="7"/>
      <c r="Q36" s="7"/>
      <c r="R36" s="7"/>
      <c r="S36" s="7"/>
      <c r="T36" s="7"/>
      <c r="U36" s="19"/>
      <c r="V36" s="19"/>
      <c r="W36" s="19"/>
      <c r="X36" s="7"/>
      <c r="Y36" s="7"/>
      <c r="Z36" s="7"/>
      <c r="AA36" s="7"/>
      <c r="AB36" s="7"/>
    </row>
    <row r="37" spans="1:28">
      <c r="A37" s="22"/>
      <c r="B37" s="1" t="s">
        <v>275</v>
      </c>
      <c r="C37" s="44"/>
      <c r="D37" s="10"/>
      <c r="E37" s="10"/>
      <c r="F37" s="10"/>
      <c r="G37" s="10"/>
      <c r="H37" s="10"/>
      <c r="I37" s="10"/>
      <c r="J37" s="10"/>
      <c r="K37" s="10"/>
      <c r="L37" s="10"/>
      <c r="M37" s="10"/>
      <c r="N37" s="10"/>
      <c r="O37" s="10"/>
      <c r="P37" s="10"/>
      <c r="Q37" s="10"/>
      <c r="R37" s="10"/>
      <c r="S37" s="10"/>
      <c r="T37" s="10"/>
      <c r="U37" s="16"/>
      <c r="V37" s="16"/>
      <c r="W37" s="16"/>
      <c r="X37" s="10"/>
      <c r="Y37" s="10"/>
      <c r="Z37" s="10"/>
      <c r="AA37" s="10"/>
      <c r="AB37" s="10"/>
    </row>
    <row r="38" spans="1:28" ht="29.25">
      <c r="A38" s="22"/>
      <c r="B38" s="1" t="s">
        <v>276</v>
      </c>
      <c r="C38" s="45" t="s">
        <v>277</v>
      </c>
      <c r="D38" s="36" t="s">
        <v>277</v>
      </c>
      <c r="E38" s="10"/>
      <c r="F38" s="10"/>
      <c r="G38" s="10"/>
      <c r="H38" s="10" t="s">
        <v>23</v>
      </c>
      <c r="I38" s="10"/>
      <c r="J38" s="10" t="s">
        <v>23</v>
      </c>
      <c r="K38" s="36" t="s">
        <v>277</v>
      </c>
      <c r="L38" s="10" t="s">
        <v>23</v>
      </c>
      <c r="M38" s="10" t="s">
        <v>23</v>
      </c>
      <c r="N38" s="10"/>
      <c r="O38" s="10" t="s">
        <v>39</v>
      </c>
      <c r="P38" s="10"/>
      <c r="Q38" s="37" t="s">
        <v>277</v>
      </c>
      <c r="R38" s="36" t="s">
        <v>277</v>
      </c>
      <c r="S38" s="10"/>
      <c r="T38" s="10"/>
      <c r="U38" s="16"/>
      <c r="V38" s="16"/>
      <c r="W38" s="16"/>
      <c r="X38" s="10"/>
      <c r="Y38" s="10"/>
      <c r="Z38" s="10"/>
      <c r="AA38" s="10" t="s">
        <v>54</v>
      </c>
      <c r="AB38" s="10"/>
    </row>
    <row r="39" spans="1:28">
      <c r="A39" s="22"/>
      <c r="B39" s="1" t="s">
        <v>278</v>
      </c>
      <c r="C39" s="44"/>
      <c r="D39" s="10"/>
      <c r="E39" s="10"/>
      <c r="F39" s="10"/>
      <c r="G39" s="10"/>
      <c r="H39" s="10"/>
      <c r="I39" s="10"/>
      <c r="J39" s="10"/>
      <c r="K39" s="10"/>
      <c r="L39" s="10"/>
      <c r="M39" s="10"/>
      <c r="N39" s="10"/>
      <c r="O39" s="10"/>
      <c r="P39" s="10"/>
      <c r="Q39" s="10"/>
      <c r="R39" s="10"/>
      <c r="S39" s="10"/>
      <c r="T39" s="10"/>
      <c r="U39" s="16"/>
      <c r="V39" s="16"/>
      <c r="W39" s="16"/>
      <c r="X39" s="10"/>
      <c r="Y39" s="10"/>
      <c r="Z39" s="10"/>
      <c r="AA39" s="10"/>
      <c r="AB39" s="10"/>
    </row>
    <row r="40" spans="1:28">
      <c r="A40" s="22"/>
      <c r="B40" s="1" t="s">
        <v>279</v>
      </c>
      <c r="C40" s="44"/>
      <c r="D40" s="10"/>
      <c r="E40" s="10"/>
      <c r="F40" s="10"/>
      <c r="G40" s="10"/>
      <c r="H40" s="10"/>
      <c r="I40" s="10"/>
      <c r="J40" s="10"/>
      <c r="K40" s="10"/>
      <c r="L40" s="10"/>
      <c r="M40" s="10"/>
      <c r="N40" s="10"/>
      <c r="O40" s="10"/>
      <c r="P40" s="10"/>
      <c r="Q40" s="10"/>
      <c r="R40" s="10"/>
      <c r="S40" s="10"/>
      <c r="T40" s="10"/>
      <c r="U40" s="16"/>
      <c r="V40" s="16"/>
      <c r="W40" s="16"/>
      <c r="X40" s="10"/>
      <c r="Y40" s="10"/>
      <c r="Z40" s="10"/>
      <c r="AA40" s="10"/>
      <c r="AB40" s="10"/>
    </row>
    <row r="41" spans="1:28" ht="30">
      <c r="A41" s="22" t="s">
        <v>280</v>
      </c>
      <c r="B41" s="35"/>
      <c r="G41" t="s">
        <v>281</v>
      </c>
      <c r="Y41" t="s">
        <v>282</v>
      </c>
    </row>
    <row r="42" spans="1:28">
      <c r="A42" s="22"/>
      <c r="B42" s="35"/>
    </row>
    <row r="43" spans="1:28">
      <c r="A43" s="22"/>
      <c r="B43" s="35"/>
    </row>
    <row r="44" spans="1:28">
      <c r="A44" t="s">
        <v>283</v>
      </c>
      <c r="C44" s="46">
        <v>1</v>
      </c>
      <c r="D44">
        <v>2</v>
      </c>
      <c r="E44">
        <v>3</v>
      </c>
      <c r="F44">
        <v>3</v>
      </c>
      <c r="G44">
        <v>3</v>
      </c>
      <c r="H44">
        <v>1</v>
      </c>
      <c r="I44">
        <v>1</v>
      </c>
      <c r="J44">
        <v>1</v>
      </c>
      <c r="K44">
        <v>1</v>
      </c>
      <c r="L44">
        <v>2</v>
      </c>
      <c r="M44">
        <v>3</v>
      </c>
      <c r="N44">
        <v>2</v>
      </c>
      <c r="O44">
        <v>2</v>
      </c>
      <c r="P44">
        <v>2</v>
      </c>
      <c r="Q44">
        <v>2</v>
      </c>
      <c r="R44">
        <v>1</v>
      </c>
      <c r="S44">
        <v>1</v>
      </c>
      <c r="T44">
        <v>1</v>
      </c>
      <c r="X44">
        <v>2</v>
      </c>
      <c r="Y44">
        <v>1</v>
      </c>
      <c r="Z44">
        <v>1</v>
      </c>
      <c r="AA44">
        <v>3</v>
      </c>
      <c r="AB44">
        <v>2</v>
      </c>
    </row>
    <row r="45" spans="1:28">
      <c r="A45" t="s">
        <v>284</v>
      </c>
      <c r="C45" s="47">
        <f>C34-30</f>
        <v>47058</v>
      </c>
      <c r="D45" s="27">
        <f t="shared" ref="D45:AB45" si="2">D34-30</f>
        <v>46936</v>
      </c>
      <c r="E45" s="32">
        <f t="shared" si="2"/>
        <v>47423</v>
      </c>
      <c r="F45" s="27">
        <f t="shared" si="2"/>
        <v>47423</v>
      </c>
      <c r="G45" s="32">
        <f t="shared" si="2"/>
        <v>47301</v>
      </c>
      <c r="H45" s="27">
        <f t="shared" si="2"/>
        <v>47058</v>
      </c>
      <c r="I45" s="32">
        <f t="shared" si="2"/>
        <v>47058</v>
      </c>
      <c r="J45" s="27">
        <f t="shared" si="2"/>
        <v>47058</v>
      </c>
      <c r="K45" s="27">
        <f t="shared" si="2"/>
        <v>47301</v>
      </c>
      <c r="L45" s="32">
        <f t="shared" si="2"/>
        <v>47058</v>
      </c>
      <c r="M45" s="27">
        <f t="shared" si="2"/>
        <v>47423</v>
      </c>
      <c r="N45" s="27">
        <f t="shared" si="2"/>
        <v>47423</v>
      </c>
      <c r="O45" s="27">
        <f t="shared" si="2"/>
        <v>47423</v>
      </c>
      <c r="P45" s="32">
        <f t="shared" si="2"/>
        <v>47423</v>
      </c>
      <c r="Q45" s="32">
        <f t="shared" si="2"/>
        <v>46936</v>
      </c>
      <c r="R45" s="27">
        <f t="shared" si="2"/>
        <v>47058</v>
      </c>
      <c r="S45" s="27">
        <f t="shared" si="2"/>
        <v>47058</v>
      </c>
      <c r="T45" s="32">
        <f t="shared" si="2"/>
        <v>47058</v>
      </c>
      <c r="U45" s="27"/>
      <c r="V45" s="27"/>
      <c r="W45" s="27"/>
      <c r="X45" s="32">
        <f t="shared" si="2"/>
        <v>47058</v>
      </c>
      <c r="Y45" s="27">
        <f t="shared" si="2"/>
        <v>46905</v>
      </c>
      <c r="Z45" s="32">
        <f t="shared" si="2"/>
        <v>47058</v>
      </c>
      <c r="AA45" s="27">
        <f t="shared" si="2"/>
        <v>47301</v>
      </c>
      <c r="AB45" s="27">
        <f t="shared" si="2"/>
        <v>47423</v>
      </c>
    </row>
    <row r="46" spans="1:28">
      <c r="A46" t="s">
        <v>285</v>
      </c>
      <c r="C46" s="48">
        <v>42</v>
      </c>
      <c r="D46" s="28">
        <v>70</v>
      </c>
      <c r="E46" s="33">
        <v>84</v>
      </c>
      <c r="F46" s="28">
        <v>63</v>
      </c>
      <c r="G46" s="33">
        <v>91</v>
      </c>
      <c r="H46" s="28">
        <v>49</v>
      </c>
      <c r="I46" s="33">
        <v>42</v>
      </c>
      <c r="J46" s="28">
        <v>63</v>
      </c>
      <c r="K46" s="28">
        <v>63</v>
      </c>
      <c r="L46" s="33">
        <v>63</v>
      </c>
      <c r="M46" s="28">
        <v>91</v>
      </c>
      <c r="N46" s="28"/>
      <c r="O46" s="28"/>
      <c r="P46" s="33"/>
      <c r="Q46" s="33"/>
      <c r="R46" s="28"/>
      <c r="S46" s="28"/>
      <c r="T46" s="33"/>
      <c r="U46" s="28"/>
      <c r="V46" s="28"/>
      <c r="W46" s="28"/>
      <c r="X46" s="33"/>
      <c r="Y46" s="28"/>
      <c r="Z46" s="33"/>
      <c r="AA46" s="28"/>
      <c r="AB46" s="28"/>
    </row>
    <row r="47" spans="1:28">
      <c r="A47" t="s">
        <v>286</v>
      </c>
      <c r="C47" s="47">
        <f>C45-C46</f>
        <v>47016</v>
      </c>
      <c r="D47" s="27">
        <f t="shared" ref="D47:AB47" si="3">D45-D46</f>
        <v>46866</v>
      </c>
      <c r="E47" s="32">
        <f t="shared" si="3"/>
        <v>47339</v>
      </c>
      <c r="F47" s="27">
        <f t="shared" si="3"/>
        <v>47360</v>
      </c>
      <c r="G47" s="32">
        <f t="shared" si="3"/>
        <v>47210</v>
      </c>
      <c r="H47" s="27">
        <f t="shared" si="3"/>
        <v>47009</v>
      </c>
      <c r="I47" s="32">
        <f t="shared" si="3"/>
        <v>47016</v>
      </c>
      <c r="J47" s="27">
        <f t="shared" si="3"/>
        <v>46995</v>
      </c>
      <c r="K47" s="27">
        <f t="shared" si="3"/>
        <v>47238</v>
      </c>
      <c r="L47" s="32">
        <f t="shared" si="3"/>
        <v>46995</v>
      </c>
      <c r="M47" s="27">
        <f t="shared" si="3"/>
        <v>47332</v>
      </c>
      <c r="N47" s="27">
        <f t="shared" si="3"/>
        <v>47423</v>
      </c>
      <c r="O47" s="27">
        <f t="shared" si="3"/>
        <v>47423</v>
      </c>
      <c r="P47" s="32">
        <f t="shared" si="3"/>
        <v>47423</v>
      </c>
      <c r="Q47" s="32">
        <f t="shared" si="3"/>
        <v>46936</v>
      </c>
      <c r="R47" s="27">
        <f t="shared" si="3"/>
        <v>47058</v>
      </c>
      <c r="S47" s="27">
        <f t="shared" si="3"/>
        <v>47058</v>
      </c>
      <c r="T47" s="32">
        <f t="shared" si="3"/>
        <v>47058</v>
      </c>
      <c r="U47" s="27"/>
      <c r="V47" s="27"/>
      <c r="W47" s="27"/>
      <c r="X47" s="32">
        <f t="shared" si="3"/>
        <v>47058</v>
      </c>
      <c r="Y47" s="27">
        <f t="shared" si="3"/>
        <v>46905</v>
      </c>
      <c r="Z47" s="32">
        <f t="shared" si="3"/>
        <v>47058</v>
      </c>
      <c r="AA47" s="27">
        <f t="shared" si="3"/>
        <v>47301</v>
      </c>
      <c r="AB47" s="27">
        <f t="shared" si="3"/>
        <v>47423</v>
      </c>
    </row>
    <row r="48" spans="1:28">
      <c r="A48" t="s">
        <v>287</v>
      </c>
      <c r="C48" s="47">
        <f>C47-30</f>
        <v>46986</v>
      </c>
      <c r="D48" s="27">
        <f t="shared" ref="D48:AB48" si="4">D47-30</f>
        <v>46836</v>
      </c>
      <c r="E48" s="32">
        <f t="shared" si="4"/>
        <v>47309</v>
      </c>
      <c r="F48" s="27">
        <f t="shared" si="4"/>
        <v>47330</v>
      </c>
      <c r="G48" s="32">
        <f t="shared" si="4"/>
        <v>47180</v>
      </c>
      <c r="H48" s="27">
        <f t="shared" si="4"/>
        <v>46979</v>
      </c>
      <c r="I48" s="32">
        <f t="shared" si="4"/>
        <v>46986</v>
      </c>
      <c r="J48" s="27">
        <f t="shared" si="4"/>
        <v>46965</v>
      </c>
      <c r="K48" s="27">
        <f t="shared" si="4"/>
        <v>47208</v>
      </c>
      <c r="L48" s="32">
        <f t="shared" si="4"/>
        <v>46965</v>
      </c>
      <c r="M48" s="27">
        <f t="shared" si="4"/>
        <v>47302</v>
      </c>
      <c r="N48" s="27">
        <f t="shared" si="4"/>
        <v>47393</v>
      </c>
      <c r="O48" s="27">
        <f t="shared" si="4"/>
        <v>47393</v>
      </c>
      <c r="P48" s="32">
        <f t="shared" si="4"/>
        <v>47393</v>
      </c>
      <c r="Q48" s="32">
        <f t="shared" si="4"/>
        <v>46906</v>
      </c>
      <c r="R48" s="27">
        <f t="shared" si="4"/>
        <v>47028</v>
      </c>
      <c r="S48" s="27">
        <f t="shared" si="4"/>
        <v>47028</v>
      </c>
      <c r="T48" s="32">
        <f t="shared" si="4"/>
        <v>47028</v>
      </c>
      <c r="U48" s="27"/>
      <c r="V48" s="27"/>
      <c r="W48" s="27"/>
      <c r="X48" s="32">
        <f t="shared" si="4"/>
        <v>47028</v>
      </c>
      <c r="Y48" s="27">
        <f t="shared" si="4"/>
        <v>46875</v>
      </c>
      <c r="Z48" s="32">
        <f t="shared" si="4"/>
        <v>47028</v>
      </c>
      <c r="AA48" s="27">
        <f t="shared" si="4"/>
        <v>47271</v>
      </c>
      <c r="AB48" s="27">
        <f t="shared" si="4"/>
        <v>47393</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299ed7f-6fa1-402d-9d4a-3f04942274df" xsi:nil="true"/>
    <lcf76f155ced4ddcb4097134ff3c332f xmlns="18d0677f-153c-436c-bd7f-ad82ad9c6f0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BFF0D2D5121847A690A530FDC4D9FD" ma:contentTypeVersion="11" ma:contentTypeDescription="Create a new document." ma:contentTypeScope="" ma:versionID="ffd0034e8e878958e81161a15b5bceac">
  <xsd:schema xmlns:xsd="http://www.w3.org/2001/XMLSchema" xmlns:xs="http://www.w3.org/2001/XMLSchema" xmlns:p="http://schemas.microsoft.com/office/2006/metadata/properties" xmlns:ns2="18d0677f-153c-436c-bd7f-ad82ad9c6f0e" xmlns:ns3="c299ed7f-6fa1-402d-9d4a-3f04942274df" targetNamespace="http://schemas.microsoft.com/office/2006/metadata/properties" ma:root="true" ma:fieldsID="0f2b32d7b59412b379e9cb6cb7b2c069" ns2:_="" ns3:_="">
    <xsd:import namespace="18d0677f-153c-436c-bd7f-ad82ad9c6f0e"/>
    <xsd:import namespace="c299ed7f-6fa1-402d-9d4a-3f04942274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d0677f-153c-436c-bd7f-ad82ad9c6f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0bb8f9-8d7c-48b8-86a5-c832f81b6b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299ed7f-6fa1-402d-9d4a-3f04942274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53eeafd-76d1-4712-aba9-3917ed05767a}" ma:internalName="TaxCatchAll" ma:showField="CatchAllData" ma:web="c299ed7f-6fa1-402d-9d4a-3f0494227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E70202-E0A8-4E5C-81D0-D8C914B66E9F}"/>
</file>

<file path=customXml/itemProps2.xml><?xml version="1.0" encoding="utf-8"?>
<ds:datastoreItem xmlns:ds="http://schemas.openxmlformats.org/officeDocument/2006/customXml" ds:itemID="{4AD50EE5-96C7-4B9F-9E73-92AF3E21B137}"/>
</file>

<file path=customXml/itemProps3.xml><?xml version="1.0" encoding="utf-8"?>
<ds:datastoreItem xmlns:ds="http://schemas.openxmlformats.org/officeDocument/2006/customXml" ds:itemID="{91EB6DF6-B7DC-4358-A088-9279F18809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Pagonis</dc:creator>
  <cp:keywords/>
  <dc:description/>
  <cp:lastModifiedBy>James Pagonis</cp:lastModifiedBy>
  <cp:revision/>
  <dcterms:created xsi:type="dcterms:W3CDTF">2025-12-04T22:10:55Z</dcterms:created>
  <dcterms:modified xsi:type="dcterms:W3CDTF">2026-02-24T19:48:34Z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0x0101005CBFF0D2D5121847A690A530FDC4D9FD</vt:lpwstr>
  </property>
  <property fmtid="{D5CDD505-2E9C-101B-9397-08002B2CF9AE}" pid="3" name="MediaServiceImageTags">
    <vt:lpwstr/>
  </property>
</Properties>
</file>