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/Downloads/"/>
    </mc:Choice>
  </mc:AlternateContent>
  <xr:revisionPtr revIDLastSave="0" documentId="8_{C62AFAEC-8F7B-C149-9802-A4BAE9D94421}" xr6:coauthVersionLast="47" xr6:coauthVersionMax="47" xr10:uidLastSave="{00000000-0000-0000-0000-000000000000}"/>
  <bookViews>
    <workbookView xWindow="0" yWindow="500" windowWidth="28800" windowHeight="16280" xr2:uid="{4988A614-C5CD-4C5F-95D5-2614D77BC250}"/>
  </bookViews>
  <sheets>
    <sheet name="Sheet1" sheetId="1" r:id="rId1"/>
    <sheet name="Visi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E28" i="1"/>
  <c r="G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8" i="1" l="1"/>
  <c r="I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tc={F8B74146-30A1-4544-9F41-80F6A12A8D99}</author>
    <author>tc={2AE207A8-0E40-4C75-BEFF-D1EC101457B6}</author>
    <author>tc={AC542A19-82FC-46B1-8C3F-01F669102011}</author>
    <author>tc={4983BBAE-ED82-4E62-8297-CF2132482E7A}</author>
    <author>tc={9A324926-7456-4F7C-97C4-4D338A0D8036}</author>
    <author>tc={C5CA9B7A-C0BC-4EB5-A1FC-5B2AF2E9DCEE}</author>
    <author>tc={D908E4E9-D559-44D5-A9F8-63A7B9D7F07D}</author>
    <author>tc={91468D06-BC13-4FE1-83FF-86CAC1A800D7}</author>
    <author>tc={2FF9B28F-37A6-4152-B4E9-A9FA1A067E9E}</author>
  </authors>
  <commentList>
    <comment ref="H2" authorId="0" shapeId="0" xr:uid="{F8B74146-30A1-4544-9F41-80F6A12A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7" authorId="1" shapeId="0" xr:uid="{2AE207A8-0E40-4C75-BEFF-D1EC101457B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8" authorId="2" shapeId="0" xr:uid="{AC542A19-82FC-46B1-8C3F-01F66910201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17" authorId="3" shapeId="0" xr:uid="{4983BBAE-ED82-4E62-8297-CF2132482E7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18" authorId="4" shapeId="0" xr:uid="{9A324926-7456-4F7C-97C4-4D338A0D803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19" authorId="5" shapeId="0" xr:uid="{C5CA9B7A-C0BC-4EB5-A1FC-5B2AF2E9DCE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20" authorId="6" shapeId="0" xr:uid="{D908E4E9-D559-44D5-A9F8-63A7B9D7F07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22" authorId="7" shapeId="0" xr:uid="{91468D06-BC13-4FE1-83FF-86CAC1A800D7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  <comment ref="H25" authorId="8" shapeId="0" xr:uid="{2FF9B28F-37A6-4152-B4E9-A9FA1A067E9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likely need to upsize inverter capacity to meet 0.7MW minimum</t>
      </text>
    </comment>
  </commentList>
</comments>
</file>

<file path=xl/sharedStrings.xml><?xml version="1.0" encoding="utf-8"?>
<sst xmlns="http://schemas.openxmlformats.org/spreadsheetml/2006/main" count="150" uniqueCount="67">
  <si>
    <t>BU</t>
  </si>
  <si>
    <t>Building Location</t>
  </si>
  <si>
    <t>Address</t>
  </si>
  <si>
    <t>Batch</t>
  </si>
  <si>
    <t>Building SQFT</t>
  </si>
  <si>
    <t>Year Built</t>
  </si>
  <si>
    <t>Estimated Rooftop PV System Size (kW DC)</t>
  </si>
  <si>
    <t>Estimated Rooftop PV System Size (kW AC)</t>
  </si>
  <si>
    <t>MON7003</t>
  </si>
  <si>
    <t>Montreal, QC</t>
  </si>
  <si>
    <t>2580 Dollard Avenue</t>
  </si>
  <si>
    <t>MON7017</t>
  </si>
  <si>
    <t>Lachine, QC</t>
  </si>
  <si>
    <t>1600 50th Avenue</t>
  </si>
  <si>
    <t>MON7020</t>
  </si>
  <si>
    <t>Pointe-Claire, QC</t>
  </si>
  <si>
    <t>5500 Trans-Canada Highway</t>
  </si>
  <si>
    <t>MON7024</t>
  </si>
  <si>
    <t>117 Hymus Boulevard</t>
  </si>
  <si>
    <t>MON7025</t>
  </si>
  <si>
    <t>7101 Notre-Dame Street East</t>
  </si>
  <si>
    <t>MON7026</t>
  </si>
  <si>
    <t>Dorval, QC</t>
  </si>
  <si>
    <t>2900 Avenue Andre</t>
  </si>
  <si>
    <t>MON7027</t>
  </si>
  <si>
    <t>7350 Trans-Canada Highway</t>
  </si>
  <si>
    <t>MON7028</t>
  </si>
  <si>
    <t>Saint-Laurent, QC</t>
  </si>
  <si>
    <t>2520 Marie-Curie</t>
  </si>
  <si>
    <t>MON7030</t>
  </si>
  <si>
    <t>1177-1185 55e Ave</t>
  </si>
  <si>
    <t>MON7038</t>
  </si>
  <si>
    <t>5685 Rue Cypihot</t>
  </si>
  <si>
    <t>MON7043</t>
  </si>
  <si>
    <t>3665 Boulevard Poirier</t>
  </si>
  <si>
    <t>1?</t>
  </si>
  <si>
    <t>MON7044</t>
  </si>
  <si>
    <t>7800 Transcanada</t>
  </si>
  <si>
    <t>Montreal</t>
  </si>
  <si>
    <t>8000 Blaise-Pascal</t>
  </si>
  <si>
    <t>Laval</t>
  </si>
  <si>
    <t>1313 Autoroute Chomedey</t>
  </si>
  <si>
    <t>Lachine</t>
  </si>
  <si>
    <t>1125 50th Avenue</t>
  </si>
  <si>
    <t>5000 rue Fairway &amp; 1645 50e Avenue</t>
  </si>
  <si>
    <t>333 Chemin du Tremblay</t>
  </si>
  <si>
    <t>1500 rue Nobel</t>
  </si>
  <si>
    <t>2000 32e Avenue</t>
  </si>
  <si>
    <t>1825 - 1865 32e Avenue</t>
  </si>
  <si>
    <t>1876 - 1936 32e Avenue</t>
  </si>
  <si>
    <t>Longueuil</t>
  </si>
  <si>
    <t>2350 de la Province</t>
  </si>
  <si>
    <t>2995 Le Corbusier</t>
  </si>
  <si>
    <t>700 McCaffrey Road</t>
  </si>
  <si>
    <t>401 Rue Marie Curie</t>
  </si>
  <si>
    <t>3055 Rue Anderson</t>
  </si>
  <si>
    <t>Estimated Value of EPC contract</t>
  </si>
  <si>
    <t>Total:</t>
  </si>
  <si>
    <t>|</t>
  </si>
  <si>
    <t>Sites</t>
  </si>
  <si>
    <t>Jan 8th</t>
  </si>
  <si>
    <t>Jan 9th</t>
  </si>
  <si>
    <t>Jan 12th</t>
  </si>
  <si>
    <t>Jan 14th</t>
  </si>
  <si>
    <t>Jan 16th</t>
  </si>
  <si>
    <t>Jan 19th</t>
  </si>
  <si>
    <t>Jan 21st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</si>
</sst>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* #,##0_);_(* \(#,##0\);_(* &quot;-&quot;??_);_(@_)"/>
    <numFmt numFmtId="167" formatCode="_-&quot;$&quot;* #,##0_-;\-&quot;$&quot;* #,##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2BBFB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 wrapText="1"/>
    </xf>
    <xf numFmtId="3" fontId="0" fillId="0" borderId="1" xfId="1" applyNumberFormat="1" applyFont="1" applyBorder="1" applyAlignment="1">
      <alignment horizontal="center" vertical="center" wrapText="1"/>
    </xf>
    <xf numFmtId="167" fontId="0" fillId="0" borderId="1" xfId="2" applyNumberFormat="1" applyFont="1" applyBorder="1" applyAlignment="1">
      <alignment vertical="center"/>
    </xf>
    <xf numFmtId="167" fontId="0" fillId="0" borderId="1" xfId="2" applyNumberFormat="1" applyFont="1" applyBorder="1"/>
    <xf numFmtId="166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0" borderId="1" xfId="1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D2BBFB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e Hodgkinson" id="{E86F1516-C7AF-477C-A423-908A2F83DE44}" userId="S::LHodgkinso@dream.ca::1c4f6722-c6fc-4668-8da2-37ed8e1f4d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08-29T14:51:29.75" personId="{E86F1516-C7AF-477C-A423-908A2F83DE44}" id="{F8B74146-30A1-4544-9F41-80F6A12A8D99}">
    <text>Will likely need to upsize inverter capacity to meet 0.7MW minimum</text>
  </threadedComment>
  <threadedComment ref="H7" dT="2025-08-29T14:51:29.75" personId="{E86F1516-C7AF-477C-A423-908A2F83DE44}" id="{2AE207A8-0E40-4C75-BEFF-D1EC101457B6}">
    <text>Will likely need to upsize inverter capacity to meet 0.7MW minimum</text>
  </threadedComment>
  <threadedComment ref="H8" dT="2025-08-29T14:51:29.75" personId="{E86F1516-C7AF-477C-A423-908A2F83DE44}" id="{AC542A19-82FC-46B1-8C3F-01F669102011}">
    <text>Will likely need to upsize inverter capacity to meet 0.7MW minimum</text>
  </threadedComment>
  <threadedComment ref="H17" dT="2025-08-29T14:51:29.75" personId="{E86F1516-C7AF-477C-A423-908A2F83DE44}" id="{4983BBAE-ED82-4E62-8297-CF2132482E7A}">
    <text>Will likely need to upsize inverter capacity to meet 0.7MW minimum</text>
  </threadedComment>
  <threadedComment ref="H18" dT="2025-08-29T14:51:29.75" personId="{E86F1516-C7AF-477C-A423-908A2F83DE44}" id="{9A324926-7456-4F7C-97C4-4D338A0D8036}">
    <text>Will likely need to upsize inverter capacity to meet 0.7MW minimum</text>
  </threadedComment>
  <threadedComment ref="H19" dT="2025-08-29T14:51:29.75" personId="{E86F1516-C7AF-477C-A423-908A2F83DE44}" id="{C5CA9B7A-C0BC-4EB5-A1FC-5B2AF2E9DCEE}">
    <text>Will likely need to upsize inverter capacity to meet 0.7MW minimum</text>
  </threadedComment>
  <threadedComment ref="H20" dT="2025-08-29T14:51:29.75" personId="{E86F1516-C7AF-477C-A423-908A2F83DE44}" id="{D908E4E9-D559-44D5-A9F8-63A7B9D7F07D}">
    <text>Will likely need to upsize inverter capacity to meet 0.7MW minimum</text>
  </threadedComment>
  <threadedComment ref="H22" dT="2025-08-29T14:51:29.75" personId="{E86F1516-C7AF-477C-A423-908A2F83DE44}" id="{91468D06-BC13-4FE1-83FF-86CAC1A800D7}">
    <text>Will likely need to upsize inverter capacity to meet 0.7MW minimum</text>
  </threadedComment>
  <threadedComment ref="H25" dT="2025-08-29T14:51:29.75" personId="{E86F1516-C7AF-477C-A423-908A2F83DE44}" id="{2FF9B28F-37A6-4152-B4E9-A9FA1A067E9E}">
    <text>Will likely need to upsize inverter capacity to meet 0.7MW minimum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AE0A-C52C-4860-B80C-79D626B66CF3}">
  <dimension ref="A1:U32"/>
  <sheetViews>
    <sheetView tabSelected="1" workbookViewId="0">
      <selection activeCell="A26" sqref="A26:C26"/>
    </sheetView>
  </sheetViews>
  <sheetFormatPr baseColWidth="10" defaultColWidth="8.83203125" defaultRowHeight="15" x14ac:dyDescent="0.2"/>
  <cols>
    <col min="1" max="1" width="10.33203125" customWidth="1"/>
    <col min="2" max="2" width="13.83203125" customWidth="1"/>
    <col min="3" max="3" width="16.6640625" customWidth="1"/>
    <col min="5" max="5" width="10.83203125" customWidth="1"/>
    <col min="7" max="8" width="12.83203125" customWidth="1"/>
    <col min="9" max="9" width="14.5" customWidth="1"/>
    <col min="15" max="15" width="13" customWidth="1"/>
    <col min="16" max="16" width="12" customWidth="1"/>
    <col min="17" max="17" width="13.1640625" customWidth="1"/>
    <col min="18" max="18" width="11.83203125" customWidth="1"/>
    <col min="19" max="19" width="13" customWidth="1"/>
  </cols>
  <sheetData>
    <row r="1" spans="1:2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9"/>
    </row>
    <row r="2" spans="1:21" ht="32" x14ac:dyDescent="0.2">
      <c r="A2" s="2" t="s">
        <v>8</v>
      </c>
      <c r="B2" s="2" t="s">
        <v>9</v>
      </c>
      <c r="C2" s="2" t="s">
        <v>10</v>
      </c>
      <c r="D2" s="2">
        <v>1</v>
      </c>
      <c r="E2" s="3">
        <v>89000</v>
      </c>
      <c r="F2" s="2">
        <v>1973</v>
      </c>
      <c r="G2" s="3">
        <v>1113.1199999999999</v>
      </c>
      <c r="H2" s="12">
        <f t="shared" ref="H2:H13" si="0">G2/1.6</f>
        <v>695.69999999999993</v>
      </c>
      <c r="I2" s="5">
        <f>G2*1.55*1000</f>
        <v>1725335.9999999998</v>
      </c>
      <c r="J2" s="16">
        <v>4</v>
      </c>
      <c r="O2" s="32"/>
      <c r="P2" s="32"/>
      <c r="Q2" s="32"/>
      <c r="R2" s="32"/>
      <c r="S2" s="32"/>
      <c r="T2" s="32"/>
      <c r="U2" s="32"/>
    </row>
    <row r="3" spans="1:21" ht="16" x14ac:dyDescent="0.2">
      <c r="A3" s="2" t="s">
        <v>11</v>
      </c>
      <c r="B3" s="2" t="s">
        <v>12</v>
      </c>
      <c r="C3" s="2" t="s">
        <v>13</v>
      </c>
      <c r="D3" s="2">
        <v>1</v>
      </c>
      <c r="E3" s="3">
        <v>241599</v>
      </c>
      <c r="F3" s="2">
        <v>1968</v>
      </c>
      <c r="G3" s="3">
        <v>3402.8</v>
      </c>
      <c r="H3" s="4">
        <f t="shared" si="0"/>
        <v>2126.75</v>
      </c>
      <c r="I3" s="5">
        <f t="shared" ref="I3:I27" si="1">G3*1.75*1000</f>
        <v>5954900.0000000009</v>
      </c>
      <c r="J3" s="17">
        <v>2</v>
      </c>
      <c r="O3" s="29">
        <v>45665</v>
      </c>
      <c r="P3" s="29">
        <v>45666</v>
      </c>
      <c r="Q3" s="29">
        <v>45669</v>
      </c>
      <c r="R3" s="29">
        <v>45671</v>
      </c>
      <c r="S3" s="29">
        <v>45673</v>
      </c>
      <c r="T3" s="29">
        <v>45676</v>
      </c>
      <c r="U3" s="29">
        <v>45678</v>
      </c>
    </row>
    <row r="4" spans="1:21" ht="32" x14ac:dyDescent="0.2">
      <c r="A4" s="2" t="s">
        <v>14</v>
      </c>
      <c r="B4" s="2" t="s">
        <v>15</v>
      </c>
      <c r="C4" s="2" t="s">
        <v>16</v>
      </c>
      <c r="D4" s="2">
        <v>1</v>
      </c>
      <c r="E4" s="3">
        <v>511848</v>
      </c>
      <c r="F4" s="2">
        <v>1958</v>
      </c>
      <c r="G4" s="3">
        <v>5900.26</v>
      </c>
      <c r="H4" s="4">
        <f t="shared" si="0"/>
        <v>3687.6624999999999</v>
      </c>
      <c r="I4" s="5">
        <f t="shared" si="1"/>
        <v>10325455</v>
      </c>
      <c r="J4" s="18">
        <v>4</v>
      </c>
      <c r="N4" s="30" t="s">
        <v>59</v>
      </c>
      <c r="O4" s="10">
        <v>4</v>
      </c>
      <c r="P4" s="11">
        <v>4</v>
      </c>
      <c r="Q4" s="13">
        <v>5</v>
      </c>
      <c r="R4" s="14">
        <v>3</v>
      </c>
      <c r="S4" s="15">
        <v>4</v>
      </c>
      <c r="T4" s="16">
        <v>4</v>
      </c>
      <c r="U4" s="28">
        <v>2</v>
      </c>
    </row>
    <row r="5" spans="1:21" ht="32" x14ac:dyDescent="0.2">
      <c r="A5" s="2" t="s">
        <v>17</v>
      </c>
      <c r="B5" s="2" t="s">
        <v>15</v>
      </c>
      <c r="C5" s="2" t="s">
        <v>18</v>
      </c>
      <c r="D5" s="2">
        <v>1</v>
      </c>
      <c r="E5" s="3">
        <v>211346</v>
      </c>
      <c r="F5" s="2">
        <v>2004</v>
      </c>
      <c r="G5" s="3">
        <v>2789.8649999999998</v>
      </c>
      <c r="H5" s="4">
        <f t="shared" si="0"/>
        <v>1743.6656249999999</v>
      </c>
      <c r="I5" s="5">
        <f t="shared" si="1"/>
        <v>4882263.75</v>
      </c>
      <c r="J5" s="18">
        <v>3</v>
      </c>
    </row>
    <row r="6" spans="1:21" ht="32" x14ac:dyDescent="0.2">
      <c r="A6" s="2" t="s">
        <v>19</v>
      </c>
      <c r="B6" s="2" t="s">
        <v>9</v>
      </c>
      <c r="C6" s="2" t="s">
        <v>20</v>
      </c>
      <c r="D6" s="2">
        <v>1</v>
      </c>
      <c r="E6" s="3">
        <v>611434</v>
      </c>
      <c r="F6" s="2">
        <v>1947</v>
      </c>
      <c r="G6" s="3">
        <v>6739.47</v>
      </c>
      <c r="H6" s="12">
        <f t="shared" si="0"/>
        <v>4212.1687499999998</v>
      </c>
      <c r="I6" s="5">
        <f t="shared" si="1"/>
        <v>11794072.5</v>
      </c>
      <c r="J6" s="19">
        <v>1</v>
      </c>
    </row>
    <row r="7" spans="1:21" ht="16" x14ac:dyDescent="0.2">
      <c r="A7" s="2" t="s">
        <v>21</v>
      </c>
      <c r="B7" s="2" t="s">
        <v>22</v>
      </c>
      <c r="C7" s="2" t="s">
        <v>23</v>
      </c>
      <c r="D7" s="2">
        <v>1</v>
      </c>
      <c r="E7" s="3">
        <v>111103</v>
      </c>
      <c r="F7" s="2">
        <v>1975</v>
      </c>
      <c r="G7" s="3">
        <v>1436.2879999999998</v>
      </c>
      <c r="H7" s="12">
        <f t="shared" si="0"/>
        <v>897.67999999999984</v>
      </c>
      <c r="I7" s="5">
        <f t="shared" si="1"/>
        <v>2513503.9999999995</v>
      </c>
      <c r="J7" s="18">
        <v>2</v>
      </c>
    </row>
    <row r="8" spans="1:21" ht="32" x14ac:dyDescent="0.2">
      <c r="A8" s="2" t="s">
        <v>24</v>
      </c>
      <c r="B8" s="2" t="s">
        <v>9</v>
      </c>
      <c r="C8" s="2" t="s">
        <v>25</v>
      </c>
      <c r="D8" s="2">
        <v>1</v>
      </c>
      <c r="E8" s="3">
        <v>115000</v>
      </c>
      <c r="F8" s="2">
        <v>1972</v>
      </c>
      <c r="G8" s="3">
        <v>1122.3</v>
      </c>
      <c r="H8" s="12">
        <f t="shared" si="0"/>
        <v>701.43749999999989</v>
      </c>
      <c r="I8" s="5">
        <f t="shared" si="1"/>
        <v>1964024.9999999998</v>
      </c>
      <c r="J8" s="20">
        <v>4</v>
      </c>
    </row>
    <row r="9" spans="1:21" ht="32" x14ac:dyDescent="0.2">
      <c r="A9" s="2" t="s">
        <v>26</v>
      </c>
      <c r="B9" s="2" t="s">
        <v>27</v>
      </c>
      <c r="C9" s="2" t="s">
        <v>28</v>
      </c>
      <c r="D9" s="2">
        <v>1</v>
      </c>
      <c r="E9" s="3">
        <v>154374</v>
      </c>
      <c r="F9" s="2">
        <v>1990</v>
      </c>
      <c r="G9" s="3">
        <v>1951.67</v>
      </c>
      <c r="H9" s="12">
        <f t="shared" si="0"/>
        <v>1219.79375</v>
      </c>
      <c r="I9" s="5">
        <f t="shared" si="1"/>
        <v>3415422.5</v>
      </c>
      <c r="J9" s="18">
        <v>1</v>
      </c>
    </row>
    <row r="10" spans="1:21" ht="16" x14ac:dyDescent="0.2">
      <c r="A10" s="2" t="s">
        <v>29</v>
      </c>
      <c r="B10" s="2" t="s">
        <v>22</v>
      </c>
      <c r="C10" s="2" t="s">
        <v>30</v>
      </c>
      <c r="D10" s="2">
        <v>1</v>
      </c>
      <c r="E10" s="3">
        <v>155892</v>
      </c>
      <c r="F10" s="2">
        <v>1990</v>
      </c>
      <c r="G10" s="3">
        <v>1929.4200000000003</v>
      </c>
      <c r="H10" s="12">
        <f t="shared" si="0"/>
        <v>1205.8875</v>
      </c>
      <c r="I10" s="5">
        <f t="shared" si="1"/>
        <v>3376485.0000000005</v>
      </c>
      <c r="J10" s="21">
        <v>5</v>
      </c>
    </row>
    <row r="11" spans="1:21" ht="16" x14ac:dyDescent="0.2">
      <c r="A11" s="2" t="s">
        <v>31</v>
      </c>
      <c r="B11" s="2" t="s">
        <v>9</v>
      </c>
      <c r="C11" s="2" t="s">
        <v>32</v>
      </c>
      <c r="D11" s="2">
        <v>1</v>
      </c>
      <c r="E11" s="3">
        <v>157208</v>
      </c>
      <c r="F11" s="2">
        <v>1980</v>
      </c>
      <c r="G11" s="3">
        <v>2044.3050000000001</v>
      </c>
      <c r="H11" s="12">
        <f t="shared" si="0"/>
        <v>1277.690625</v>
      </c>
      <c r="I11" s="5">
        <f t="shared" si="1"/>
        <v>3577533.75</v>
      </c>
      <c r="J11" s="22">
        <v>1</v>
      </c>
    </row>
    <row r="12" spans="1:21" ht="32" x14ac:dyDescent="0.2">
      <c r="A12" s="2" t="s">
        <v>33</v>
      </c>
      <c r="B12" s="2" t="s">
        <v>27</v>
      </c>
      <c r="C12" s="2" t="s">
        <v>34</v>
      </c>
      <c r="D12" s="2" t="s">
        <v>35</v>
      </c>
      <c r="E12" s="3">
        <v>534111</v>
      </c>
      <c r="F12" s="2">
        <v>2003</v>
      </c>
      <c r="G12" s="3">
        <v>6100.92</v>
      </c>
      <c r="H12" s="12">
        <f t="shared" si="0"/>
        <v>3813.0749999999998</v>
      </c>
      <c r="I12" s="5">
        <f t="shared" si="1"/>
        <v>10676610</v>
      </c>
      <c r="J12" s="21">
        <v>1</v>
      </c>
    </row>
    <row r="13" spans="1:21" ht="16" x14ac:dyDescent="0.2">
      <c r="A13" s="2" t="s">
        <v>36</v>
      </c>
      <c r="B13" s="2" t="s">
        <v>15</v>
      </c>
      <c r="C13" s="2" t="s">
        <v>37</v>
      </c>
      <c r="D13" s="2">
        <v>1</v>
      </c>
      <c r="E13" s="3">
        <v>68093</v>
      </c>
      <c r="F13" s="2">
        <v>1964</v>
      </c>
      <c r="G13" s="3">
        <v>4547.0700000000006</v>
      </c>
      <c r="H13" s="12">
        <f t="shared" si="0"/>
        <v>2841.9187500000003</v>
      </c>
      <c r="I13" s="5">
        <f t="shared" si="1"/>
        <v>7957372.5000000009</v>
      </c>
      <c r="J13" s="22">
        <v>2</v>
      </c>
    </row>
    <row r="14" spans="1:21" ht="16" x14ac:dyDescent="0.2">
      <c r="A14" s="2">
        <v>21025</v>
      </c>
      <c r="B14" s="2" t="s">
        <v>38</v>
      </c>
      <c r="C14" s="2" t="s">
        <v>39</v>
      </c>
      <c r="D14" s="2">
        <v>1</v>
      </c>
      <c r="E14" s="3">
        <v>326345</v>
      </c>
      <c r="F14" s="2">
        <v>1993</v>
      </c>
      <c r="G14" s="4">
        <v>2392.2000000000003</v>
      </c>
      <c r="H14" s="12">
        <f>G14/1.6</f>
        <v>1495.125</v>
      </c>
      <c r="I14" s="5">
        <f t="shared" si="1"/>
        <v>4186350.0000000005</v>
      </c>
      <c r="J14" s="26"/>
    </row>
    <row r="15" spans="1:21" ht="32" x14ac:dyDescent="0.2">
      <c r="A15" s="2">
        <v>21027</v>
      </c>
      <c r="B15" s="2" t="s">
        <v>40</v>
      </c>
      <c r="C15" s="2" t="s">
        <v>41</v>
      </c>
      <c r="D15" s="2">
        <v>1</v>
      </c>
      <c r="E15" s="3">
        <v>165000</v>
      </c>
      <c r="F15" s="2">
        <v>1999</v>
      </c>
      <c r="G15" s="4">
        <v>2241.2700000000004</v>
      </c>
      <c r="H15" s="12">
        <f t="shared" ref="H15:H27" si="2">G15/1.6</f>
        <v>1400.7937500000003</v>
      </c>
      <c r="I15" s="5">
        <f t="shared" si="1"/>
        <v>3922222.5000000009</v>
      </c>
      <c r="J15" s="23">
        <v>1</v>
      </c>
    </row>
    <row r="16" spans="1:21" ht="16" x14ac:dyDescent="0.2">
      <c r="A16" s="2">
        <v>21051</v>
      </c>
      <c r="B16" s="2" t="s">
        <v>42</v>
      </c>
      <c r="C16" s="2" t="s">
        <v>43</v>
      </c>
      <c r="D16" s="2" t="s">
        <v>35</v>
      </c>
      <c r="E16" s="3">
        <v>210710</v>
      </c>
      <c r="F16" s="2">
        <v>2000</v>
      </c>
      <c r="G16" s="4">
        <v>2168.8599999999997</v>
      </c>
      <c r="H16" s="12">
        <f t="shared" si="2"/>
        <v>1355.5374999999997</v>
      </c>
      <c r="I16" s="5">
        <f t="shared" si="1"/>
        <v>3795504.9999999991</v>
      </c>
      <c r="J16" s="21">
        <v>4</v>
      </c>
    </row>
    <row r="17" spans="1:13" ht="32" x14ac:dyDescent="0.2">
      <c r="A17" s="2">
        <v>21226</v>
      </c>
      <c r="B17" s="2" t="s">
        <v>38</v>
      </c>
      <c r="C17" s="2" t="s">
        <v>44</v>
      </c>
      <c r="D17" s="2">
        <v>1</v>
      </c>
      <c r="E17" s="3">
        <v>108292</v>
      </c>
      <c r="F17" s="2">
        <v>1978</v>
      </c>
      <c r="G17" s="4">
        <v>1197.3800000000001</v>
      </c>
      <c r="H17" s="12">
        <f t="shared" si="2"/>
        <v>748.36250000000007</v>
      </c>
      <c r="I17" s="5">
        <f t="shared" si="1"/>
        <v>2095415</v>
      </c>
      <c r="J17" s="21">
        <v>3</v>
      </c>
    </row>
    <row r="18" spans="1:13" ht="32" x14ac:dyDescent="0.2">
      <c r="A18" s="2">
        <v>21229</v>
      </c>
      <c r="B18" s="2" t="s">
        <v>38</v>
      </c>
      <c r="C18" s="2" t="s">
        <v>45</v>
      </c>
      <c r="D18" s="2">
        <v>1</v>
      </c>
      <c r="E18" s="3">
        <v>86842</v>
      </c>
      <c r="F18" s="2">
        <v>1987</v>
      </c>
      <c r="G18" s="4">
        <v>1134.9649999999999</v>
      </c>
      <c r="H18" s="12">
        <f t="shared" si="2"/>
        <v>709.35312499999986</v>
      </c>
      <c r="I18" s="5">
        <f t="shared" si="1"/>
        <v>1986188.7499999998</v>
      </c>
      <c r="J18" s="24">
        <v>3</v>
      </c>
    </row>
    <row r="19" spans="1:13" ht="16" x14ac:dyDescent="0.2">
      <c r="A19" s="2">
        <v>21230</v>
      </c>
      <c r="B19" s="2" t="s">
        <v>38</v>
      </c>
      <c r="C19" s="2" t="s">
        <v>46</v>
      </c>
      <c r="D19" s="2">
        <v>1</v>
      </c>
      <c r="E19" s="3">
        <v>82051</v>
      </c>
      <c r="F19" s="2">
        <v>1989</v>
      </c>
      <c r="G19" s="4">
        <v>1050.3899999999999</v>
      </c>
      <c r="H19" s="12">
        <f t="shared" si="2"/>
        <v>656.49374999999986</v>
      </c>
      <c r="I19" s="5">
        <f t="shared" si="1"/>
        <v>1838182.5</v>
      </c>
      <c r="J19" s="24">
        <v>4</v>
      </c>
    </row>
    <row r="20" spans="1:13" ht="16" x14ac:dyDescent="0.2">
      <c r="A20" s="2">
        <v>21231</v>
      </c>
      <c r="B20" s="2" t="s">
        <v>38</v>
      </c>
      <c r="C20" s="2" t="s">
        <v>47</v>
      </c>
      <c r="D20" s="2">
        <v>1</v>
      </c>
      <c r="E20" s="3">
        <v>81288</v>
      </c>
      <c r="F20" s="2">
        <v>1985</v>
      </c>
      <c r="G20" s="4">
        <v>1074.83</v>
      </c>
      <c r="H20" s="12">
        <f t="shared" si="2"/>
        <v>671.76874999999995</v>
      </c>
      <c r="I20" s="5">
        <f t="shared" si="1"/>
        <v>1880952.4999999998</v>
      </c>
      <c r="J20" s="25">
        <v>1</v>
      </c>
    </row>
    <row r="21" spans="1:13" ht="32" x14ac:dyDescent="0.2">
      <c r="A21" s="2">
        <v>21317</v>
      </c>
      <c r="B21" s="2" t="s">
        <v>38</v>
      </c>
      <c r="C21" s="2" t="s">
        <v>48</v>
      </c>
      <c r="D21" s="2">
        <v>1</v>
      </c>
      <c r="E21" s="3">
        <v>71616</v>
      </c>
      <c r="F21" s="2">
        <v>1986</v>
      </c>
      <c r="G21" s="4">
        <v>1444.23</v>
      </c>
      <c r="H21" s="12">
        <f t="shared" si="2"/>
        <v>902.64374999999995</v>
      </c>
      <c r="I21" s="5">
        <f t="shared" si="1"/>
        <v>2527402.5</v>
      </c>
      <c r="J21" s="25">
        <v>2</v>
      </c>
    </row>
    <row r="22" spans="1:13" ht="32" x14ac:dyDescent="0.2">
      <c r="A22" s="2">
        <v>21318</v>
      </c>
      <c r="B22" s="2" t="s">
        <v>38</v>
      </c>
      <c r="C22" s="2" t="s">
        <v>49</v>
      </c>
      <c r="D22" s="2">
        <v>1</v>
      </c>
      <c r="E22" s="3">
        <v>84659</v>
      </c>
      <c r="F22" s="2">
        <v>1987</v>
      </c>
      <c r="G22" s="4">
        <v>1114.635</v>
      </c>
      <c r="H22" s="12">
        <f t="shared" si="2"/>
        <v>696.64687499999991</v>
      </c>
      <c r="I22" s="5">
        <f t="shared" si="1"/>
        <v>1950611.25</v>
      </c>
      <c r="J22" s="25">
        <v>3</v>
      </c>
    </row>
    <row r="23" spans="1:13" ht="16" x14ac:dyDescent="0.2">
      <c r="A23" s="2">
        <v>21319</v>
      </c>
      <c r="B23" s="2" t="s">
        <v>50</v>
      </c>
      <c r="C23" s="2" t="s">
        <v>51</v>
      </c>
      <c r="D23" s="2" t="s">
        <v>35</v>
      </c>
      <c r="E23" s="3">
        <v>222464</v>
      </c>
      <c r="F23" s="2">
        <v>1967</v>
      </c>
      <c r="G23" s="4">
        <v>2757.85</v>
      </c>
      <c r="H23" s="4">
        <f t="shared" si="2"/>
        <v>1723.6562499999998</v>
      </c>
      <c r="I23" s="5">
        <f t="shared" si="1"/>
        <v>4826237.5</v>
      </c>
      <c r="J23" s="24">
        <v>2</v>
      </c>
    </row>
    <row r="24" spans="1:13" ht="16" x14ac:dyDescent="0.2">
      <c r="A24" s="2">
        <v>21344</v>
      </c>
      <c r="B24" s="2" t="s">
        <v>38</v>
      </c>
      <c r="C24" s="2" t="s">
        <v>52</v>
      </c>
      <c r="D24" s="2">
        <v>1</v>
      </c>
      <c r="E24" s="3">
        <v>130736</v>
      </c>
      <c r="F24" s="2">
        <v>1975</v>
      </c>
      <c r="G24" s="4">
        <v>1506.8899999999999</v>
      </c>
      <c r="H24" s="4">
        <f t="shared" si="2"/>
        <v>941.80624999999986</v>
      </c>
      <c r="I24" s="5">
        <f t="shared" si="1"/>
        <v>2637057.5</v>
      </c>
      <c r="J24" s="23">
        <v>2</v>
      </c>
    </row>
    <row r="25" spans="1:13" ht="16" x14ac:dyDescent="0.2">
      <c r="A25" s="2">
        <v>21383</v>
      </c>
      <c r="B25" s="2" t="s">
        <v>38</v>
      </c>
      <c r="C25" s="2" t="s">
        <v>53</v>
      </c>
      <c r="D25" s="2">
        <v>1</v>
      </c>
      <c r="E25" s="3">
        <v>79875</v>
      </c>
      <c r="F25" s="2">
        <v>1975</v>
      </c>
      <c r="G25" s="4">
        <v>1082.1449999999998</v>
      </c>
      <c r="H25" s="12">
        <f t="shared" si="2"/>
        <v>676.34062499999982</v>
      </c>
      <c r="I25" s="5">
        <f t="shared" si="1"/>
        <v>1893753.7499999995</v>
      </c>
      <c r="J25" s="22">
        <v>3</v>
      </c>
    </row>
    <row r="26" spans="1:13" ht="16" x14ac:dyDescent="0.2">
      <c r="A26" s="2">
        <v>21390</v>
      </c>
      <c r="B26" s="2" t="s">
        <v>38</v>
      </c>
      <c r="C26" s="2" t="s">
        <v>54</v>
      </c>
      <c r="D26" s="2">
        <v>1</v>
      </c>
      <c r="E26" s="3">
        <v>753072</v>
      </c>
      <c r="F26" s="2">
        <v>2005</v>
      </c>
      <c r="G26" s="4">
        <v>9767.52</v>
      </c>
      <c r="H26" s="4">
        <f t="shared" si="2"/>
        <v>6104.7</v>
      </c>
      <c r="I26" s="5">
        <f t="shared" si="1"/>
        <v>17093160</v>
      </c>
      <c r="J26" s="27"/>
    </row>
    <row r="27" spans="1:13" ht="16" x14ac:dyDescent="0.2">
      <c r="A27" s="2">
        <v>21391</v>
      </c>
      <c r="B27" s="2" t="s">
        <v>38</v>
      </c>
      <c r="C27" s="2" t="s">
        <v>55</v>
      </c>
      <c r="D27" s="2">
        <v>1</v>
      </c>
      <c r="E27" s="3">
        <v>365694</v>
      </c>
      <c r="F27" s="2">
        <v>2003</v>
      </c>
      <c r="G27" s="4">
        <v>4860.9960000000001</v>
      </c>
      <c r="H27" s="4">
        <f t="shared" si="2"/>
        <v>3038.1224999999999</v>
      </c>
      <c r="I27" s="5">
        <f t="shared" si="1"/>
        <v>8506743</v>
      </c>
      <c r="J27" s="23">
        <v>3</v>
      </c>
    </row>
    <row r="28" spans="1:13" x14ac:dyDescent="0.2">
      <c r="A28" s="8" t="s">
        <v>57</v>
      </c>
      <c r="E28" s="7">
        <f>SUM(E2:E27)</f>
        <v>5729652</v>
      </c>
      <c r="G28" s="4">
        <f>SUM(G2:G27)</f>
        <v>72871.64899999999</v>
      </c>
      <c r="H28" s="4">
        <f>SUM(H2:H27)</f>
        <v>45544.780624999992</v>
      </c>
      <c r="I28" s="6">
        <f>SUM(I2:I27)</f>
        <v>127302761.75</v>
      </c>
    </row>
    <row r="29" spans="1:13" x14ac:dyDescent="0.2">
      <c r="A29" s="8"/>
    </row>
    <row r="32" spans="1:13" x14ac:dyDescent="0.2">
      <c r="M32" t="s">
        <v>58</v>
      </c>
    </row>
  </sheetData>
  <mergeCells count="1">
    <mergeCell ref="O2:U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0147-7907-4222-8F38-D4BA9FF30FC6}">
  <dimension ref="B3:D41"/>
  <sheetViews>
    <sheetView workbookViewId="0">
      <selection activeCell="C3" sqref="C3"/>
    </sheetView>
  </sheetViews>
  <sheetFormatPr baseColWidth="10" defaultColWidth="8.83203125" defaultRowHeight="15" x14ac:dyDescent="0.2"/>
  <cols>
    <col min="2" max="3" width="15.1640625" customWidth="1"/>
    <col min="4" max="4" width="20.6640625" customWidth="1"/>
  </cols>
  <sheetData>
    <row r="3" spans="2:4" x14ac:dyDescent="0.2">
      <c r="B3" t="s">
        <v>60</v>
      </c>
    </row>
    <row r="4" spans="2:4" ht="32.25" customHeight="1" x14ac:dyDescent="0.2">
      <c r="B4" s="2" t="s">
        <v>26</v>
      </c>
      <c r="C4" s="2" t="s">
        <v>27</v>
      </c>
      <c r="D4" s="2" t="s">
        <v>28</v>
      </c>
    </row>
    <row r="5" spans="2:4" ht="16" x14ac:dyDescent="0.2">
      <c r="B5" s="2" t="s">
        <v>21</v>
      </c>
      <c r="C5" s="2" t="s">
        <v>22</v>
      </c>
      <c r="D5" s="2" t="s">
        <v>23</v>
      </c>
    </row>
    <row r="6" spans="2:4" ht="16" x14ac:dyDescent="0.2">
      <c r="B6" s="2" t="s">
        <v>17</v>
      </c>
      <c r="C6" s="2" t="s">
        <v>15</v>
      </c>
      <c r="D6" s="2" t="s">
        <v>18</v>
      </c>
    </row>
    <row r="7" spans="2:4" ht="32" x14ac:dyDescent="0.2">
      <c r="B7" s="2" t="s">
        <v>14</v>
      </c>
      <c r="C7" s="2" t="s">
        <v>15</v>
      </c>
      <c r="D7" s="2" t="s">
        <v>16</v>
      </c>
    </row>
    <row r="9" spans="2:4" ht="16" x14ac:dyDescent="0.2">
      <c r="B9" s="31" t="s">
        <v>61</v>
      </c>
    </row>
    <row r="10" spans="2:4" ht="16" x14ac:dyDescent="0.2">
      <c r="B10" s="2" t="s">
        <v>31</v>
      </c>
      <c r="C10" s="2" t="s">
        <v>9</v>
      </c>
      <c r="D10" s="2" t="s">
        <v>32</v>
      </c>
    </row>
    <row r="11" spans="2:4" ht="16" x14ac:dyDescent="0.2">
      <c r="B11" s="2" t="s">
        <v>36</v>
      </c>
      <c r="C11" s="2" t="s">
        <v>15</v>
      </c>
      <c r="D11" s="2" t="s">
        <v>37</v>
      </c>
    </row>
    <row r="12" spans="2:4" ht="16" x14ac:dyDescent="0.2">
      <c r="B12" s="2">
        <v>21383</v>
      </c>
      <c r="C12" s="2" t="s">
        <v>38</v>
      </c>
      <c r="D12" s="2" t="s">
        <v>53</v>
      </c>
    </row>
    <row r="13" spans="2:4" ht="32" x14ac:dyDescent="0.2">
      <c r="B13" s="2" t="s">
        <v>24</v>
      </c>
      <c r="C13" s="2" t="s">
        <v>9</v>
      </c>
      <c r="D13" s="2" t="s">
        <v>25</v>
      </c>
    </row>
    <row r="15" spans="2:4" ht="16" x14ac:dyDescent="0.2">
      <c r="B15" s="31" t="s">
        <v>62</v>
      </c>
    </row>
    <row r="16" spans="2:4" ht="16" x14ac:dyDescent="0.2">
      <c r="B16" s="2" t="s">
        <v>33</v>
      </c>
      <c r="C16" s="2" t="s">
        <v>27</v>
      </c>
      <c r="D16" s="2" t="s">
        <v>34</v>
      </c>
    </row>
    <row r="17" spans="2:4" ht="16" x14ac:dyDescent="0.2">
      <c r="B17" s="2" t="s">
        <v>11</v>
      </c>
      <c r="C17" s="2" t="s">
        <v>12</v>
      </c>
      <c r="D17" s="2" t="s">
        <v>13</v>
      </c>
    </row>
    <row r="18" spans="2:4" ht="32" x14ac:dyDescent="0.2">
      <c r="B18" s="2">
        <v>21226</v>
      </c>
      <c r="C18" s="2" t="s">
        <v>38</v>
      </c>
      <c r="D18" s="2" t="s">
        <v>44</v>
      </c>
    </row>
    <row r="19" spans="2:4" ht="16" x14ac:dyDescent="0.2">
      <c r="B19" s="2">
        <v>21051</v>
      </c>
      <c r="C19" s="2" t="s">
        <v>42</v>
      </c>
      <c r="D19" s="2" t="s">
        <v>43</v>
      </c>
    </row>
    <row r="20" spans="2:4" ht="16" x14ac:dyDescent="0.2">
      <c r="B20" s="2" t="s">
        <v>29</v>
      </c>
      <c r="C20" s="2" t="s">
        <v>22</v>
      </c>
      <c r="D20" s="2" t="s">
        <v>30</v>
      </c>
    </row>
    <row r="22" spans="2:4" x14ac:dyDescent="0.2">
      <c r="B22" t="s">
        <v>63</v>
      </c>
    </row>
    <row r="23" spans="2:4" ht="32" x14ac:dyDescent="0.2">
      <c r="B23" s="2">
        <v>21027</v>
      </c>
      <c r="C23" s="2" t="s">
        <v>40</v>
      </c>
      <c r="D23" s="2" t="s">
        <v>41</v>
      </c>
    </row>
    <row r="24" spans="2:4" ht="16" x14ac:dyDescent="0.2">
      <c r="B24" s="2">
        <v>21344</v>
      </c>
      <c r="C24" s="2" t="s">
        <v>38</v>
      </c>
      <c r="D24" s="2" t="s">
        <v>52</v>
      </c>
    </row>
    <row r="25" spans="2:4" ht="16" x14ac:dyDescent="0.2">
      <c r="B25" s="2">
        <v>21391</v>
      </c>
      <c r="C25" s="2" t="s">
        <v>38</v>
      </c>
      <c r="D25" s="2" t="s">
        <v>55</v>
      </c>
    </row>
    <row r="27" spans="2:4" x14ac:dyDescent="0.2">
      <c r="B27" t="s">
        <v>64</v>
      </c>
    </row>
    <row r="28" spans="2:4" ht="32" x14ac:dyDescent="0.2">
      <c r="B28" s="2" t="s">
        <v>19</v>
      </c>
      <c r="C28" s="2" t="s">
        <v>9</v>
      </c>
      <c r="D28" s="2" t="s">
        <v>20</v>
      </c>
    </row>
    <row r="29" spans="2:4" ht="16" x14ac:dyDescent="0.2">
      <c r="B29" s="2">
        <v>21319</v>
      </c>
      <c r="C29" s="2" t="s">
        <v>50</v>
      </c>
      <c r="D29" s="2" t="s">
        <v>51</v>
      </c>
    </row>
    <row r="30" spans="2:4" ht="16" x14ac:dyDescent="0.2">
      <c r="B30" s="2">
        <v>21229</v>
      </c>
      <c r="C30" s="2" t="s">
        <v>38</v>
      </c>
      <c r="D30" s="2" t="s">
        <v>45</v>
      </c>
    </row>
    <row r="31" spans="2:4" ht="16" x14ac:dyDescent="0.2">
      <c r="B31" s="2">
        <v>21230</v>
      </c>
      <c r="C31" s="2" t="s">
        <v>38</v>
      </c>
      <c r="D31" s="2" t="s">
        <v>46</v>
      </c>
    </row>
    <row r="33" spans="2:4" x14ac:dyDescent="0.2">
      <c r="B33" t="s">
        <v>65</v>
      </c>
    </row>
    <row r="34" spans="2:4" ht="16" x14ac:dyDescent="0.2">
      <c r="B34" s="2">
        <v>21231</v>
      </c>
      <c r="C34" s="2" t="s">
        <v>38</v>
      </c>
      <c r="D34" s="2" t="s">
        <v>47</v>
      </c>
    </row>
    <row r="35" spans="2:4" ht="16" x14ac:dyDescent="0.2">
      <c r="B35" s="2">
        <v>21317</v>
      </c>
      <c r="C35" s="2" t="s">
        <v>38</v>
      </c>
      <c r="D35" s="2" t="s">
        <v>48</v>
      </c>
    </row>
    <row r="36" spans="2:4" ht="16" x14ac:dyDescent="0.2">
      <c r="B36" s="2">
        <v>21318</v>
      </c>
      <c r="C36" s="2" t="s">
        <v>38</v>
      </c>
      <c r="D36" s="2" t="s">
        <v>49</v>
      </c>
    </row>
    <row r="37" spans="2:4" ht="16" x14ac:dyDescent="0.2">
      <c r="B37" s="2" t="s">
        <v>8</v>
      </c>
      <c r="C37" s="2" t="s">
        <v>9</v>
      </c>
      <c r="D37" s="2" t="s">
        <v>10</v>
      </c>
    </row>
    <row r="39" spans="2:4" x14ac:dyDescent="0.2">
      <c r="B39" t="s">
        <v>66</v>
      </c>
    </row>
    <row r="40" spans="2:4" ht="16" x14ac:dyDescent="0.2">
      <c r="B40" s="2">
        <v>21025</v>
      </c>
      <c r="C40" s="2" t="s">
        <v>38</v>
      </c>
      <c r="D40" s="2" t="s">
        <v>39</v>
      </c>
    </row>
    <row r="41" spans="2:4" ht="16" x14ac:dyDescent="0.2">
      <c r="B41" s="2">
        <v>21390</v>
      </c>
      <c r="C41" s="2" t="s">
        <v>38</v>
      </c>
      <c r="D41" s="2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339c16-1fb0-497a-8a89-c392b665cf17"/>
    <lcf76f155ced4ddcb4097134ff3c332f xmlns="18ffd0bf-d4f0-4207-9528-0ededd6879e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57C36E35B3444487F212642E2E48AB" ma:contentTypeVersion="12" ma:contentTypeDescription="Create a new document." ma:contentTypeScope="" ma:versionID="1930246df68ed560bc73f98a62955767">
  <xsd:schema xmlns:xsd="http://www.w3.org/2001/XMLSchema" xmlns:xs="http://www.w3.org/2001/XMLSchema" xmlns:p="http://schemas.microsoft.com/office/2006/metadata/properties" xmlns:ns2="18ffd0bf-d4f0-4207-9528-0ededd6879ed" xmlns:ns3="0a339c16-1fb0-497a-8a89-c392b665cf17" targetNamespace="http://schemas.microsoft.com/office/2006/metadata/properties" ma:root="true" ma:fieldsID="37ca03b0505f496f7d0e41199b3adb86" ns2:_="" ns3:_="">
    <xsd:import namespace="18ffd0bf-d4f0-4207-9528-0ededd6879ed"/>
    <xsd:import namespace="0a339c16-1fb0-497a-8a89-c392b665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fd0bf-d4f0-4207-9528-0ededd6879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60bb8f9-8d7c-48b8-86a5-c832f81b6b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39c16-1fb0-497a-8a89-c392b665cf1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fd6b9c8-05c8-4b59-8e7f-63cc73c4191d}" ma:internalName="TaxCatchAll" ma:showField="CatchAllData" ma:web="0a339c16-1fb0-497a-8a89-c392b665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E8CA44-2B4E-4BEB-B089-5A2209BA2F1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a339c16-1fb0-497a-8a89-c392b665cf17"/>
    <ds:schemaRef ds:uri="18ffd0bf-d4f0-4207-9528-0ededd6879ed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071D9D8-7497-45D1-A7BE-DA555020DA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E870CB-51DD-40C7-8B03-5F9DE49E0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ffd0bf-d4f0-4207-9528-0ededd6879ed"/>
    <ds:schemaRef ds:uri="0a339c16-1fb0-497a-8a89-c392b665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Visits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Pagonis</dc:creator>
  <cp:keywords/>
  <dc:description/>
  <cp:lastModifiedBy>Marc-André La Barre</cp:lastModifiedBy>
  <cp:revision/>
  <dcterms:created xsi:type="dcterms:W3CDTF">2025-12-04T22:10:55Z</dcterms:created>
  <dcterms:modified xsi:type="dcterms:W3CDTF">2025-12-21T20:23:25Z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0x0101002B57C36E35B3444487F212642E2E48AB</vt:lpwstr>
  </property>
</Properties>
</file>